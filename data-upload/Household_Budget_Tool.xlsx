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ogicamms-my.sharepoint.com/personal/laxman_nagappan_verbrec_com/Documents/Downloads/"/>
    </mc:Choice>
  </mc:AlternateContent>
  <xr:revisionPtr revIDLastSave="477" documentId="11_98F43214DC85EC898F09D8EA89068134BB369D42" xr6:coauthVersionLast="47" xr6:coauthVersionMax="47" xr10:uidLastSave="{736F0024-BD8F-4B3A-84C0-0EC2328E21FB}"/>
  <bookViews>
    <workbookView xWindow="28680" yWindow="-120" windowWidth="29040" windowHeight="15720" tabRatio="500" firstSheet="1" activeTab="3" xr2:uid="{00000000-000D-0000-FFFF-FFFF00000000}"/>
  </bookViews>
  <sheets>
    <sheet name="Instructions" sheetId="1" r:id="rId1"/>
    <sheet name="Income" sheetId="2" r:id="rId2"/>
    <sheet name="BudgetCategories" sheetId="3" r:id="rId3"/>
    <sheet name="FortnightlyLog" sheetId="4" r:id="rId4"/>
    <sheet name="MonthlySummary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4" l="1"/>
  <c r="D10" i="4"/>
  <c r="D11" i="4"/>
  <c r="O8" i="2"/>
  <c r="O7" i="2"/>
  <c r="B16" i="5"/>
  <c r="B15" i="5"/>
  <c r="H15" i="5" s="1"/>
  <c r="B14" i="5"/>
  <c r="G14" i="5" s="1"/>
  <c r="B13" i="5"/>
  <c r="M13" i="5" s="1"/>
  <c r="B12" i="5"/>
  <c r="N12" i="5" s="1"/>
  <c r="B11" i="5"/>
  <c r="B10" i="5"/>
  <c r="F10" i="5" s="1"/>
  <c r="B9" i="5"/>
  <c r="B8" i="5"/>
  <c r="B7" i="5"/>
  <c r="B6" i="5"/>
  <c r="N6" i="5" s="1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D25" i="4"/>
  <c r="E7" i="5" s="1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C11" i="4"/>
  <c r="C10" i="4"/>
  <c r="C9" i="4"/>
  <c r="D8" i="4"/>
  <c r="C8" i="4"/>
  <c r="D7" i="4"/>
  <c r="C7" i="4"/>
  <c r="D6" i="4"/>
  <c r="C6" i="4"/>
  <c r="D17" i="3"/>
  <c r="N12" i="2"/>
  <c r="N18" i="5" s="1"/>
  <c r="M12" i="2"/>
  <c r="M18" i="5" s="1"/>
  <c r="L12" i="2"/>
  <c r="L18" i="5" s="1"/>
  <c r="K12" i="2"/>
  <c r="K18" i="5" s="1"/>
  <c r="J12" i="2"/>
  <c r="J18" i="5" s="1"/>
  <c r="I12" i="2"/>
  <c r="I18" i="5" s="1"/>
  <c r="H12" i="2"/>
  <c r="H18" i="5" s="1"/>
  <c r="G12" i="2"/>
  <c r="G18" i="5" s="1"/>
  <c r="F12" i="2"/>
  <c r="F18" i="5" s="1"/>
  <c r="E12" i="2"/>
  <c r="E18" i="5" s="1"/>
  <c r="D12" i="2"/>
  <c r="D18" i="5" s="1"/>
  <c r="C12" i="2"/>
  <c r="C18" i="5" s="1"/>
  <c r="O11" i="2"/>
  <c r="O10" i="2"/>
  <c r="O9" i="2"/>
  <c r="O6" i="2"/>
  <c r="F13" i="5" l="1"/>
  <c r="J13" i="5"/>
  <c r="K13" i="5"/>
  <c r="L15" i="5"/>
  <c r="M10" i="5"/>
  <c r="H8" i="5"/>
  <c r="N10" i="5"/>
  <c r="J7" i="5"/>
  <c r="H12" i="5"/>
  <c r="G12" i="5"/>
  <c r="I12" i="5"/>
  <c r="H10" i="5"/>
  <c r="L12" i="5"/>
  <c r="M12" i="5"/>
  <c r="C6" i="5"/>
  <c r="D10" i="5"/>
  <c r="E10" i="5"/>
  <c r="I10" i="5"/>
  <c r="J14" i="5"/>
  <c r="J10" i="5"/>
  <c r="E13" i="5"/>
  <c r="G16" i="5"/>
  <c r="G6" i="5"/>
  <c r="M6" i="5"/>
  <c r="C12" i="5"/>
  <c r="L14" i="5"/>
  <c r="K14" i="5"/>
  <c r="I8" i="5"/>
  <c r="D12" i="5"/>
  <c r="M14" i="5"/>
  <c r="D6" i="5"/>
  <c r="N14" i="5"/>
  <c r="C8" i="5"/>
  <c r="C11" i="5"/>
  <c r="D8" i="5"/>
  <c r="E8" i="5"/>
  <c r="L8" i="5"/>
  <c r="K8" i="5"/>
  <c r="D15" i="5"/>
  <c r="M8" i="5"/>
  <c r="C14" i="5"/>
  <c r="G15" i="5"/>
  <c r="M7" i="5"/>
  <c r="D14" i="5"/>
  <c r="I15" i="5"/>
  <c r="E14" i="5"/>
  <c r="J15" i="5"/>
  <c r="C10" i="5"/>
  <c r="F14" i="5"/>
  <c r="K15" i="5"/>
  <c r="F15" i="5"/>
  <c r="H14" i="5"/>
  <c r="K7" i="5"/>
  <c r="J8" i="5"/>
  <c r="F9" i="5"/>
  <c r="F7" i="5"/>
  <c r="N11" i="5"/>
  <c r="G10" i="5"/>
  <c r="I14" i="5"/>
  <c r="G8" i="5"/>
  <c r="E16" i="5"/>
  <c r="F16" i="5"/>
  <c r="H6" i="5"/>
  <c r="L6" i="5"/>
  <c r="C9" i="5"/>
  <c r="E11" i="5"/>
  <c r="M11" i="5"/>
  <c r="I9" i="5"/>
  <c r="J11" i="5"/>
  <c r="N8" i="5"/>
  <c r="O12" i="2"/>
  <c r="O18" i="5"/>
  <c r="B6" i="6"/>
  <c r="N7" i="5"/>
  <c r="J9" i="5"/>
  <c r="D11" i="5"/>
  <c r="N13" i="5"/>
  <c r="E17" i="3"/>
  <c r="H16" i="5"/>
  <c r="K9" i="5"/>
  <c r="L9" i="5"/>
  <c r="F11" i="5"/>
  <c r="E6" i="5"/>
  <c r="C7" i="5"/>
  <c r="M9" i="5"/>
  <c r="K10" i="5"/>
  <c r="G11" i="5"/>
  <c r="E12" i="5"/>
  <c r="C13" i="5"/>
  <c r="M15" i="5"/>
  <c r="I16" i="5"/>
  <c r="F6" i="5"/>
  <c r="D7" i="5"/>
  <c r="N9" i="5"/>
  <c r="L10" i="5"/>
  <c r="H11" i="5"/>
  <c r="F12" i="5"/>
  <c r="D13" i="5"/>
  <c r="N15" i="5"/>
  <c r="J16" i="5"/>
  <c r="I11" i="5"/>
  <c r="K16" i="5"/>
  <c r="L16" i="5"/>
  <c r="C15" i="5"/>
  <c r="M16" i="5"/>
  <c r="K11" i="5"/>
  <c r="N16" i="5"/>
  <c r="I6" i="5"/>
  <c r="G7" i="5"/>
  <c r="G13" i="5"/>
  <c r="J6" i="5"/>
  <c r="H7" i="5"/>
  <c r="F8" i="5"/>
  <c r="D9" i="5"/>
  <c r="L11" i="5"/>
  <c r="J12" i="5"/>
  <c r="H13" i="5"/>
  <c r="K6" i="5"/>
  <c r="I7" i="5"/>
  <c r="E9" i="5"/>
  <c r="K12" i="5"/>
  <c r="I13" i="5"/>
  <c r="E15" i="5"/>
  <c r="C16" i="5"/>
  <c r="G9" i="5"/>
  <c r="L7" i="5"/>
  <c r="H9" i="5"/>
  <c r="L13" i="5"/>
  <c r="D16" i="5"/>
  <c r="O14" i="5" l="1"/>
  <c r="O8" i="5"/>
  <c r="O12" i="5"/>
  <c r="G17" i="5"/>
  <c r="G19" i="5" s="1"/>
  <c r="G20" i="5" s="1"/>
  <c r="L17" i="5"/>
  <c r="L19" i="5" s="1"/>
  <c r="L20" i="5" s="1"/>
  <c r="O11" i="5"/>
  <c r="N17" i="5"/>
  <c r="N19" i="5" s="1"/>
  <c r="N20" i="5" s="1"/>
  <c r="O6" i="5"/>
  <c r="K17" i="5"/>
  <c r="K19" i="5" s="1"/>
  <c r="K20" i="5" s="1"/>
  <c r="M17" i="5"/>
  <c r="M19" i="5" s="1"/>
  <c r="M20" i="5" s="1"/>
  <c r="D17" i="5"/>
  <c r="D19" i="5" s="1"/>
  <c r="D20" i="5" s="1"/>
  <c r="H17" i="5"/>
  <c r="H19" i="5" s="1"/>
  <c r="H20" i="5" s="1"/>
  <c r="O9" i="5"/>
  <c r="O7" i="5"/>
  <c r="E17" i="5"/>
  <c r="E19" i="5" s="1"/>
  <c r="E20" i="5" s="1"/>
  <c r="O16" i="5"/>
  <c r="F17" i="5"/>
  <c r="F19" i="5" s="1"/>
  <c r="F20" i="5" s="1"/>
  <c r="J17" i="5"/>
  <c r="J19" i="5" s="1"/>
  <c r="J20" i="5" s="1"/>
  <c r="O13" i="5"/>
  <c r="O15" i="5"/>
  <c r="C17" i="5"/>
  <c r="O10" i="5"/>
  <c r="I17" i="5"/>
  <c r="I19" i="5" s="1"/>
  <c r="I20" i="5" s="1"/>
  <c r="D6" i="6" l="1"/>
  <c r="C19" i="5"/>
  <c r="O17" i="5"/>
  <c r="O19" i="5" s="1"/>
  <c r="O20" i="5" s="1"/>
  <c r="F6" i="6" l="1"/>
  <c r="C20" i="5"/>
  <c r="H6" i="6" s="1"/>
</calcChain>
</file>

<file path=xl/sharedStrings.xml><?xml version="1.0" encoding="utf-8"?>
<sst xmlns="http://schemas.openxmlformats.org/spreadsheetml/2006/main" count="275" uniqueCount="126">
  <si>
    <t>Household Budget Tool</t>
  </si>
  <si>
    <t>A weekly-tracking, monthly-rollup budget workbook</t>
  </si>
  <si>
    <t>How this workbook is organized</t>
  </si>
  <si>
    <t>Income</t>
  </si>
  <si>
    <t>Enter each income source and its expected amount per month.</t>
  </si>
  <si>
    <t>BudgetCategories</t>
  </si>
  <si>
    <t>Set your monthly budget target for each spending category.</t>
  </si>
  <si>
    <t>FortnightlyLog</t>
  </si>
  <si>
    <t>Log every transaction here as you spend, each fortnight.</t>
  </si>
  <si>
    <t>MonthlySummary</t>
  </si>
  <si>
    <t>Automatically rolls up the weekly log into a month-by-month view vs. your budget.</t>
  </si>
  <si>
    <t>Dashboard</t>
  </si>
  <si>
    <t>At-a-glance KPIs and charts. Nothing to edit here.</t>
  </si>
  <si>
    <t>Color legend</t>
  </si>
  <si>
    <t>Blue text</t>
  </si>
  <si>
    <t>A cell you type into (inputs)</t>
  </si>
  <si>
    <t>Black text</t>
  </si>
  <si>
    <t>A formula — don't overwrite</t>
  </si>
  <si>
    <t>Yellow fill</t>
  </si>
  <si>
    <t>Key assumption or setting to review</t>
  </si>
  <si>
    <t>Green text</t>
  </si>
  <si>
    <t>A link pulling data from another sheet</t>
  </si>
  <si>
    <t>Getting started</t>
  </si>
  <si>
    <t>1. Go to Income and enter your monthly income sources (blue cells).</t>
  </si>
  <si>
    <t>2. Go to BudgetCategories and set a monthly budget for each category (blue cells).</t>
  </si>
  <si>
    <t>3. Each fortnight, add rows to FortnightlyLog: date, category (pick from dropdown), description, amount.</t>
  </si>
  <si>
    <t>4. Check MonthlySummary and Dashboard any time to see how you're tracking against budget.</t>
  </si>
  <si>
    <t>Monthly Income</t>
  </si>
  <si>
    <t>Enter expected income by source for each month (blue cells).</t>
  </si>
  <si>
    <t>Income Source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</si>
  <si>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</si>
  <si>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</si>
  <si>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</si>
  <si>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</si>
  <si>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</si>
  <si>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</si>
  <si>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</si>
  <si>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</si>
  <si>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</si>
  <si>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</si>
  <si>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</si>
  <si>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</si>
  <si>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</si>
  <si>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Primary Salary</t>
  </si>
  <si>
    <t>Secondary Salary</t>
  </si>
  <si>
    <t>Side Income</t>
  </si>
  <si>
    <t>Other Income</t>
  </si>
  <si>
    <t>Total Income</t>
  </si>
  <si>
    <t>Budget Categories</t>
  </si>
  <si>
    <t>Set a monthly budget target per category (blue cells). Annual budget calculates automatically.</t>
  </si>
  <si>
    <t>Category</t>
  </si>
  <si>
    <t>Type</t>
  </si>
  <si>
    <t>Monthly Budget</t>
  </si>
  <si>
    <t>Annual Budget</t>
  </si>
  <si>
    <t>Fixed</t>
  </si>
  <si>
    <t>Utilities</t>
  </si>
  <si>
    <t>Variable</t>
  </si>
  <si>
    <t>Groceries</t>
  </si>
  <si>
    <t>Transportation</t>
  </si>
  <si>
    <t>Insurance</t>
  </si>
  <si>
    <t>Dining Out</t>
  </si>
  <si>
    <t>Entertainment</t>
  </si>
  <si>
    <t>Health &amp; Fitness</t>
  </si>
  <si>
    <t>Personal Care</t>
  </si>
  <si>
    <t>Subscriptions</t>
  </si>
  <si>
    <t>Miscellaneous</t>
  </si>
  <si>
    <t>Total</t>
  </si>
  <si>
    <t>Fortnightly Expense Log</t>
  </si>
  <si>
    <t>Add one row per transaction. Date, Category and Amount are the only cells you fill in (blue).</t>
  </si>
  <si>
    <t>Date</t>
  </si>
  <si>
    <t>Fortnight #</t>
  </si>
  <si>
    <t>Month</t>
  </si>
  <si>
    <t>Description</t>
  </si>
  <si>
    <t>Amount</t>
  </si>
  <si>
    <t>Automatically calculated from FortnightlyLog. Nothing to edit on this sheet.</t>
  </si>
  <si>
    <t>Actual Total</t>
  </si>
  <si>
    <t>Total Expenses</t>
  </si>
  <si>
    <t>Net Savings</t>
  </si>
  <si>
    <t>Savings Rate</t>
  </si>
  <si>
    <t>Budget Dashboard</t>
  </si>
  <si>
    <t>Live snapshot — pulls automatically from MonthlySummary. Nothing to edit here.</t>
  </si>
  <si>
    <t>Annual Income</t>
  </si>
  <si>
    <t>Annual Expenses</t>
  </si>
  <si>
    <t>Annual Net Savings</t>
  </si>
  <si>
    <t>Avg. Savings Rate</t>
  </si>
  <si>
    <t>Primary Salary - 2</t>
  </si>
  <si>
    <t>Primary Salary - 3</t>
  </si>
  <si>
    <t>Dominos</t>
  </si>
  <si>
    <t>Nandos</t>
  </si>
  <si>
    <t>Nene Chicken</t>
  </si>
  <si>
    <t>Aldi</t>
  </si>
  <si>
    <t>Transperth</t>
  </si>
  <si>
    <t>Swan Valley</t>
  </si>
  <si>
    <t>SpudShed</t>
  </si>
  <si>
    <t>Flight Ticket</t>
  </si>
  <si>
    <t>Rent</t>
  </si>
  <si>
    <t>Shopping</t>
  </si>
  <si>
    <t>Internet</t>
  </si>
  <si>
    <t>Car</t>
  </si>
  <si>
    <t>Red Rooster</t>
  </si>
  <si>
    <t>Chemist Warehouse</t>
  </si>
  <si>
    <t>Mobile</t>
  </si>
  <si>
    <t>Karrinyup</t>
  </si>
  <si>
    <t>BP</t>
  </si>
  <si>
    <t>Barber</t>
  </si>
  <si>
    <t>spudshed</t>
  </si>
  <si>
    <t>BigW</t>
  </si>
  <si>
    <t>Netflix</t>
  </si>
  <si>
    <t>K-mart</t>
  </si>
  <si>
    <t>SeaFresh</t>
  </si>
  <si>
    <t>Synergy</t>
  </si>
  <si>
    <t>Medical</t>
  </si>
  <si>
    <t>Woolworths</t>
  </si>
  <si>
    <t>Grace Street Café</t>
  </si>
  <si>
    <t>Golden Bakery</t>
  </si>
  <si>
    <t>Crown Perth</t>
  </si>
  <si>
    <t>Myer</t>
  </si>
  <si>
    <t>Rawberry</t>
  </si>
  <si>
    <t>Library</t>
  </si>
  <si>
    <t>Perth Airport</t>
  </si>
  <si>
    <t>Subway</t>
  </si>
  <si>
    <t>Adelaide</t>
  </si>
  <si>
    <t>Didi</t>
  </si>
  <si>
    <t>Uber</t>
  </si>
  <si>
    <t>Ibis - Adelaide</t>
  </si>
  <si>
    <t>Monthly Summary —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</si>
</sst>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yyyy\-mm\-dd"/>
    <numFmt numFmtId="166" formatCode="0.0%;\(0.0%\);\-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color rgb="FF595959"/>
      <name val="Arial"/>
      <charset val="1"/>
    </font>
    <font>
      <b/>
      <sz val="11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BDD7EE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/>
    <xf numFmtId="164" fontId="5" fillId="0" borderId="1" xfId="0" applyNumberFormat="1" applyFont="1" applyBorder="1"/>
    <xf numFmtId="164" fontId="4" fillId="4" borderId="1" xfId="0" applyNumberFormat="1" applyFont="1" applyFill="1" applyBorder="1"/>
    <xf numFmtId="0" fontId="5" fillId="0" borderId="1" xfId="0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/>
    <xf numFmtId="166" fontId="4" fillId="4" borderId="1" xfId="0" applyNumberFormat="1" applyFont="1" applyFill="1" applyBorder="1"/>
    <xf numFmtId="0" fontId="9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7B7B7"/>
      <rgbColor rgb="FF878787"/>
      <rgbColor rgb="FF9999FF"/>
      <rgbColor rgb="FF9F423F"/>
      <rgbColor rgb="FFF9F9F9"/>
      <rgbColor rgb="FFD9D9D9"/>
      <rgbColor rgb="FF660066"/>
      <rgbColor rgb="FFCC7C3A"/>
      <rgbColor rgb="FF416A9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AABAD7"/>
      <rgbColor rgb="FFFF99CC"/>
      <rgbColor rgb="FFCC99FF"/>
      <rgbColor rgb="FFF8CBAD"/>
      <rgbColor rgb="FF4A7EBB"/>
      <rgbColor rgb="FF4BACC6"/>
      <rgbColor rgb="FF9BBB59"/>
      <rgbColor rgb="FFFFCC00"/>
      <rgbColor rgb="FFF79646"/>
      <rgbColor rgb="FFFF6600"/>
      <rgbColor rgb="FF8064A2"/>
      <rgbColor rgb="FF809B49"/>
      <rgbColor rgb="FF003366"/>
      <rgbColor rgb="FF3E8EA4"/>
      <rgbColor rgb="FF003300"/>
      <rgbColor rgb="FF333300"/>
      <rgbColor rgb="FF6A5286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Budget vs. Actual by Category (Annual)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MonthlySummary!#REF!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MonthlySummary!$B$6:$B$16</c:f>
              <c:strCache>
                <c:ptCount val="11"/>
                <c:pt idx="0">
                  <c:v>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Dining Out</c:v>
                </c:pt>
                <c:pt idx="6">
                  <c:v>Entertainment</c:v>
                </c:pt>
                <c:pt idx="7">
                  <c:v>Health &amp; Fitness</c:v>
                </c:pt>
                <c:pt idx="8">
                  <c:v>Personal Care</c:v>
                </c:pt>
                <c:pt idx="9">
                  <c:v>Subscriptions</c:v>
                </c:pt>
                <c:pt idx="10">
                  <c:v>Miscellaneous</c:v>
                </c:pt>
              </c:strCache>
            </c:strRef>
          </c:cat>
          <c:val>
            <c:numRef>
              <c:f>MonthlySummary!#REF!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9-4D9C-8F3D-5E41D01C6A02}"/>
            </c:ext>
          </c:extLst>
        </c:ser>
        <c:ser>
          <c:idx val="1"/>
          <c:order val="1"/>
          <c:tx>
            <c:strRef>
              <c:f>MonthlySummary!$O$5</c:f>
              <c:strCache>
                <c:ptCount val="1"/>
                <c:pt idx="0">
                  <c:v>Actual Total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MonthlySummary!$B$6:$B$16</c:f>
              <c:strCache>
                <c:ptCount val="11"/>
                <c:pt idx="0">
                  <c:v>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Dining Out</c:v>
                </c:pt>
                <c:pt idx="6">
                  <c:v>Entertainment</c:v>
                </c:pt>
                <c:pt idx="7">
                  <c:v>Health &amp; Fitness</c:v>
                </c:pt>
                <c:pt idx="8">
                  <c:v>Personal Care</c:v>
                </c:pt>
                <c:pt idx="9">
                  <c:v>Subscriptions</c:v>
                </c:pt>
                <c:pt idx="10">
                  <c:v>Miscellaneous</c:v>
                </c:pt>
              </c:strCache>
            </c:strRef>
          </c:cat>
          <c:val>
            <c:numRef>
              <c:f>MonthlySummary!$O$6:$O$16</c:f>
              <c:numCache>
                <c:formatCode>\$#,##0;"($"#,##0\);\-</c:formatCode>
                <c:ptCount val="11"/>
                <c:pt idx="0">
                  <c:v>2960</c:v>
                </c:pt>
                <c:pt idx="1">
                  <c:v>328.5</c:v>
                </c:pt>
                <c:pt idx="2">
                  <c:v>749.35</c:v>
                </c:pt>
                <c:pt idx="3">
                  <c:v>325.95999999999998</c:v>
                </c:pt>
                <c:pt idx="4">
                  <c:v>418.34</c:v>
                </c:pt>
                <c:pt idx="5">
                  <c:v>705.44</c:v>
                </c:pt>
                <c:pt idx="6">
                  <c:v>0</c:v>
                </c:pt>
                <c:pt idx="7">
                  <c:v>0</c:v>
                </c:pt>
                <c:pt idx="8">
                  <c:v>47.959999999999994</c:v>
                </c:pt>
                <c:pt idx="9">
                  <c:v>9.99</c:v>
                </c:pt>
                <c:pt idx="10">
                  <c:v>1542.8000000000002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99-4D9C-8F3D-5E41D01C6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015573"/>
        <c:axId val="46886199"/>
      </c:barChart>
      <c:catAx>
        <c:axId val="580155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886199"/>
        <c:crosses val="autoZero"/>
        <c:auto val="1"/>
        <c:lblAlgn val="ctr"/>
        <c:lblOffset val="100"/>
        <c:noMultiLvlLbl val="0"/>
      </c:catAx>
      <c:valAx>
        <c:axId val="46886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015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Annual 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MonthlySummary!$O$5</c:f>
              <c:strCache>
                <c:ptCount val="1"/>
                <c:pt idx="0">
                  <c:v>Actual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F44-4716-81C4-21BD15A39AE8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F44-4716-81C4-21BD15A39AE8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F44-4716-81C4-21BD15A39AE8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F44-4716-81C4-21BD15A39AE8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F44-4716-81C4-21BD15A39AE8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F44-4716-81C4-21BD15A39AE8}"/>
              </c:ext>
            </c:extLst>
          </c:dPt>
          <c:dPt>
            <c:idx val="6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EF44-4716-81C4-21BD15A39AE8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EF44-4716-81C4-21BD15A39AE8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EF44-4716-81C4-21BD15A39AE8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F44-4716-81C4-21BD15A39AE8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EF44-4716-81C4-21BD15A39AE8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EF44-4716-81C4-21BD15A39AE8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EF44-4716-81C4-21BD15A39AE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F44-4716-81C4-21BD15A39AE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F44-4716-81C4-21BD15A39AE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F44-4716-81C4-21BD15A39AE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F44-4716-81C4-21BD15A39AE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F44-4716-81C4-21BD15A39AE8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F44-4716-81C4-21BD15A39AE8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EF44-4716-81C4-21BD15A39AE8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EF44-4716-81C4-21BD15A39AE8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EF44-4716-81C4-21BD15A39AE8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F44-4716-81C4-21BD15A39AE8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EF44-4716-81C4-21BD15A39AE8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EF44-4716-81C4-21BD15A39AE8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EF44-4716-81C4-21BD15A39A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MonthlySummary!$B$6:$B$16</c:f>
              <c:strCache>
                <c:ptCount val="11"/>
                <c:pt idx="0">
                  <c:v>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Dining Out</c:v>
                </c:pt>
                <c:pt idx="6">
                  <c:v>Entertainment</c:v>
                </c:pt>
                <c:pt idx="7">
                  <c:v>Health &amp; Fitness</c:v>
                </c:pt>
                <c:pt idx="8">
                  <c:v>Personal Care</c:v>
                </c:pt>
                <c:pt idx="9">
                  <c:v>Subscriptions</c:v>
                </c:pt>
                <c:pt idx="10">
                  <c:v>Miscellaneous</c:v>
                </c:pt>
              </c:strCache>
            </c:strRef>
          </c:cat>
          <c:val>
            <c:numRef>
              <c:f>MonthlySummary!$O$6:$O$16</c:f>
              <c:numCache>
                <c:formatCode>\$#,##0;"($"#,##0\);\-</c:formatCode>
                <c:ptCount val="11"/>
                <c:pt idx="0">
                  <c:v>2960</c:v>
                </c:pt>
                <c:pt idx="1">
                  <c:v>328.5</c:v>
                </c:pt>
                <c:pt idx="2">
                  <c:v>749.35</c:v>
                </c:pt>
                <c:pt idx="3">
                  <c:v>325.95999999999998</c:v>
                </c:pt>
                <c:pt idx="4">
                  <c:v>418.34</c:v>
                </c:pt>
                <c:pt idx="5">
                  <c:v>705.44</c:v>
                </c:pt>
                <c:pt idx="6">
                  <c:v>0</c:v>
                </c:pt>
                <c:pt idx="7">
                  <c:v>0</c:v>
                </c:pt>
                <c:pt idx="8">
                  <c:v>47.959999999999994</c:v>
                </c:pt>
                <c:pt idx="9">
                  <c:v>9.99</c:v>
                </c:pt>
                <c:pt idx="10">
                  <c:v>1542.8000000000002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F44-4716-81C4-21BD15A39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Net Savings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MonthlySummary!$B$19</c:f>
              <c:strCache>
                <c:ptCount val="1"/>
                <c:pt idx="0">
                  <c:v>Net Savings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MonthlySummary!$C$5:$N$5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MonthlySummary!$C$19:$N$19</c:f>
              <c:numCache>
                <c:formatCode>\$#,##0;"($"#,##0\);\-</c:formatCode>
                <c:ptCount val="12"/>
                <c:pt idx="0">
                  <c:v>2767.8700000000008</c:v>
                </c:pt>
                <c:pt idx="1">
                  <c:v>5294.79</c:v>
                </c:pt>
                <c:pt idx="2">
                  <c:v>7504</c:v>
                </c:pt>
                <c:pt idx="3">
                  <c:v>10068</c:v>
                </c:pt>
                <c:pt idx="4">
                  <c:v>5804</c:v>
                </c:pt>
                <c:pt idx="5">
                  <c:v>7504</c:v>
                </c:pt>
                <c:pt idx="6">
                  <c:v>7694</c:v>
                </c:pt>
                <c:pt idx="7">
                  <c:v>7574</c:v>
                </c:pt>
                <c:pt idx="8">
                  <c:v>3787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97-44BA-910B-5A3C1E7CD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110063"/>
        <c:axId val="97985183"/>
      </c:lineChart>
      <c:catAx>
        <c:axId val="571100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985183"/>
        <c:crosses val="autoZero"/>
        <c:auto val="1"/>
        <c:lblAlgn val="ctr"/>
        <c:lblOffset val="100"/>
        <c:noMultiLvlLbl val="0"/>
      </c:catAx>
      <c:valAx>
        <c:axId val="97985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Net Savings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10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70920</xdr:rowOff>
    </xdr:from>
    <xdr:to>
      <xdr:col>7</xdr:col>
      <xdr:colOff>181440</xdr:colOff>
      <xdr:row>28</xdr:row>
      <xdr:rowOff>30240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</xdr:row>
      <xdr:rowOff>70920</xdr:rowOff>
    </xdr:from>
    <xdr:to>
      <xdr:col>19</xdr:col>
      <xdr:colOff>507600</xdr:colOff>
      <xdr:row>28</xdr:row>
      <xdr:rowOff>30240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71280</xdr:rowOff>
    </xdr:from>
    <xdr:to>
      <xdr:col>7</xdr:col>
      <xdr:colOff>181440</xdr:colOff>
      <xdr:row>50</xdr:row>
      <xdr:rowOff>30240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3" width="70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2" spans="2:3" x14ac:dyDescent="0.25">
      <c r="B12" s="3" t="s">
        <v>13</v>
      </c>
    </row>
    <row r="13" spans="2:3" x14ac:dyDescent="0.25">
      <c r="B13" s="6" t="s">
        <v>14</v>
      </c>
      <c r="C13" s="5" t="s">
        <v>15</v>
      </c>
    </row>
    <row r="14" spans="2:3" x14ac:dyDescent="0.25">
      <c r="B14" s="5" t="s">
        <v>16</v>
      </c>
      <c r="C14" s="5" t="s">
        <v>17</v>
      </c>
    </row>
    <row r="15" spans="2:3" x14ac:dyDescent="0.25">
      <c r="B15" s="7" t="s">
        <v>18</v>
      </c>
      <c r="C15" s="5" t="s">
        <v>19</v>
      </c>
    </row>
    <row r="16" spans="2:3" x14ac:dyDescent="0.25">
      <c r="B16" s="8" t="s">
        <v>20</v>
      </c>
      <c r="C16" s="5" t="s">
        <v>21</v>
      </c>
    </row>
    <row r="18" spans="2:2" x14ac:dyDescent="0.25">
      <c r="B18" s="3" t="s">
        <v>22</v>
      </c>
    </row>
    <row r="19" spans="2:2" x14ac:dyDescent="0.25">
      <c r="B19" s="5" t="s">
        <v>23</v>
      </c>
    </row>
    <row r="20" spans="2:2" x14ac:dyDescent="0.25">
      <c r="B20" s="5" t="s">
        <v>24</v>
      </c>
    </row>
    <row r="21" spans="2:2" x14ac:dyDescent="0.25">
      <c r="B21" s="5" t="s">
        <v>25</v>
      </c>
    </row>
    <row r="22" spans="2:2" x14ac:dyDescent="0.25">
      <c r="B22" s="5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2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12" sqref="N12"/>
    </sheetView>
  </sheetViews>
  <sheetFormatPr defaultColWidth="8.7109375" defaultRowHeight="15" x14ac:dyDescent="0.25"/>
  <cols>
    <col min="1" max="1" width="2" customWidth="1"/>
    <col min="2" max="2" width="20" customWidth="1"/>
    <col min="3" max="14" width="11" customWidth="1"/>
    <col min="15" max="15" width="14" customWidth="1"/>
  </cols>
  <sheetData>
    <row r="2" spans="2:15" ht="20.25" x14ac:dyDescent="0.3">
      <c r="B2" s="1" t="s">
        <v>27</v>
      </c>
    </row>
    <row r="3" spans="2:15" x14ac:dyDescent="0.25">
      <c r="B3" s="2" t="s">
        <v>28</v>
      </c>
    </row>
    <row r="5" spans="2:15" x14ac:dyDescent="0.25"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35</v>
      </c>
      <c r="I5" s="9" t="s">
        <v>36</v>
      </c>
      <c r="J5" s="9" t="s">
        <v>37</v>
      </c>
      <c r="K5" s="9" t="s">
        <v>38</v>
      </c>
      <c r="L5" s="9" t="s">
        <v>39</v>
      </c>
      <c r="M5" s="9" t="s">
        <v>40</v>
      </c>
      <c r="N5" s="9" t="s">
        <v>41</v>
      </c>
      <c r="O5" s="9" t="s">
        <v>42</v>
      </c>
    </row>
    <row r="6" spans="2:15" x14ac:dyDescent="0.25">
      <c r="B6" s="5" t="s">
        <v>43</v>
      </c>
      <c r="C6" s="10">
        <v>3752</v>
      </c>
      <c r="D6" s="10">
        <v>3752</v>
      </c>
      <c r="E6" s="10">
        <v>3752</v>
      </c>
      <c r="F6" s="10">
        <v>3752</v>
      </c>
      <c r="G6" s="10">
        <v>3752</v>
      </c>
      <c r="H6" s="10">
        <v>3752</v>
      </c>
      <c r="I6" s="10">
        <v>3762</v>
      </c>
      <c r="J6" s="10">
        <v>3787</v>
      </c>
      <c r="K6" s="10">
        <v>3787</v>
      </c>
      <c r="L6" s="10">
        <v>0</v>
      </c>
      <c r="M6" s="10">
        <v>0</v>
      </c>
      <c r="N6" s="10">
        <v>0</v>
      </c>
      <c r="O6" s="11">
        <f>SUM(C6:N6)</f>
        <v>33848</v>
      </c>
    </row>
    <row r="7" spans="2:15" x14ac:dyDescent="0.25">
      <c r="B7" s="5" t="s">
        <v>85</v>
      </c>
      <c r="C7" s="10">
        <v>3752</v>
      </c>
      <c r="D7" s="10">
        <v>3752</v>
      </c>
      <c r="E7" s="10">
        <v>3752</v>
      </c>
      <c r="F7" s="10">
        <v>6316</v>
      </c>
      <c r="G7" s="10">
        <v>2052</v>
      </c>
      <c r="H7" s="10">
        <v>3752</v>
      </c>
      <c r="I7" s="10">
        <v>3787</v>
      </c>
      <c r="J7" s="10">
        <v>3787</v>
      </c>
      <c r="K7" s="10">
        <v>0</v>
      </c>
      <c r="L7" s="10">
        <v>0</v>
      </c>
      <c r="M7" s="10">
        <v>0</v>
      </c>
      <c r="N7" s="10">
        <v>0</v>
      </c>
      <c r="O7" s="11">
        <f>SUM(C7:N7)</f>
        <v>30950</v>
      </c>
    </row>
    <row r="8" spans="2:15" x14ac:dyDescent="0.25">
      <c r="B8" s="5" t="s">
        <v>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3787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f>SUM(C8:N8)</f>
        <v>3787</v>
      </c>
    </row>
    <row r="9" spans="2:15" x14ac:dyDescent="0.25">
      <c r="B9" s="5" t="s">
        <v>44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f>SUM(C9:N9)</f>
        <v>0</v>
      </c>
    </row>
    <row r="10" spans="2:15" x14ac:dyDescent="0.25">
      <c r="B10" s="5" t="s">
        <v>45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f>SUM(C10:N10)</f>
        <v>0</v>
      </c>
    </row>
    <row r="11" spans="2:15" x14ac:dyDescent="0.25">
      <c r="B11" s="5" t="s">
        <v>46</v>
      </c>
      <c r="C11" s="10">
        <v>0</v>
      </c>
      <c r="D11" s="10">
        <v>143</v>
      </c>
      <c r="E11" s="10">
        <v>0</v>
      </c>
      <c r="F11" s="10">
        <v>0</v>
      </c>
      <c r="G11" s="10">
        <v>0</v>
      </c>
      <c r="H11" s="10">
        <v>0</v>
      </c>
      <c r="I11" s="10">
        <v>120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f>SUM(C11:N11)</f>
        <v>263</v>
      </c>
    </row>
    <row r="12" spans="2:15" x14ac:dyDescent="0.25">
      <c r="B12" s="3" t="s">
        <v>47</v>
      </c>
      <c r="C12" s="12">
        <f t="shared" ref="C12:O12" si="0">SUM(C6:C11)</f>
        <v>7504</v>
      </c>
      <c r="D12" s="12">
        <f t="shared" si="0"/>
        <v>7647</v>
      </c>
      <c r="E12" s="12">
        <f t="shared" si="0"/>
        <v>7504</v>
      </c>
      <c r="F12" s="12">
        <f t="shared" si="0"/>
        <v>10068</v>
      </c>
      <c r="G12" s="12">
        <f t="shared" si="0"/>
        <v>5804</v>
      </c>
      <c r="H12" s="12">
        <f>SUM(H6:H11)</f>
        <v>7504</v>
      </c>
      <c r="I12" s="12">
        <f>SUM(I7:I11)</f>
        <v>7694</v>
      </c>
      <c r="J12" s="12">
        <f t="shared" si="0"/>
        <v>7574</v>
      </c>
      <c r="K12" s="12">
        <f t="shared" si="0"/>
        <v>3787</v>
      </c>
      <c r="L12" s="12">
        <f t="shared" si="0"/>
        <v>0</v>
      </c>
      <c r="M12" s="12">
        <f t="shared" si="0"/>
        <v>0</v>
      </c>
      <c r="N12" s="12">
        <f t="shared" si="0"/>
        <v>0</v>
      </c>
      <c r="O12" s="12">
        <f t="shared" si="0"/>
        <v>68848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7"/>
  <sheetViews>
    <sheetView zoomScaleNormal="100" workbookViewId="0">
      <selection activeCell="D28" sqref="D28"/>
    </sheetView>
  </sheetViews>
  <sheetFormatPr defaultColWidth="8.7109375" defaultRowHeight="15" x14ac:dyDescent="0.25"/>
  <cols>
    <col min="1" max="1" width="2" customWidth="1"/>
    <col min="2" max="2" width="24" customWidth="1"/>
    <col min="3" max="3" width="12" customWidth="1"/>
    <col min="4" max="5" width="16" customWidth="1"/>
  </cols>
  <sheetData>
    <row r="2" spans="2:5" ht="20.25" x14ac:dyDescent="0.3">
      <c r="B2" s="1" t="s">
        <v>48</v>
      </c>
    </row>
    <row r="3" spans="2:5" x14ac:dyDescent="0.25">
      <c r="B3" s="2" t="s">
        <v>49</v>
      </c>
    </row>
    <row r="5" spans="2:5" ht="30" x14ac:dyDescent="0.25">
      <c r="B5" s="9" t="s">
        <v>50</v>
      </c>
      <c r="C5" s="9" t="s">
        <v>51</v>
      </c>
      <c r="D5" s="9" t="s">
        <v>52</v>
      </c>
      <c r="E5" s="9" t="s">
        <v>53</v>
      </c>
    </row>
    <row r="6" spans="2:5" x14ac:dyDescent="0.25">
      <c r="B6" s="13" t="s">
        <v>95</v>
      </c>
      <c r="C6" s="14" t="s">
        <v>54</v>
      </c>
      <c r="D6" s="10"/>
      <c r="E6" s="11"/>
    </row>
    <row r="7" spans="2:5" x14ac:dyDescent="0.25">
      <c r="B7" s="13" t="s">
        <v>55</v>
      </c>
      <c r="C7" s="14" t="s">
        <v>56</v>
      </c>
      <c r="D7" s="10"/>
      <c r="E7" s="11"/>
    </row>
    <row r="8" spans="2:5" x14ac:dyDescent="0.25">
      <c r="B8" s="13" t="s">
        <v>57</v>
      </c>
      <c r="C8" s="14" t="s">
        <v>56</v>
      </c>
      <c r="D8" s="10"/>
      <c r="E8" s="11"/>
    </row>
    <row r="9" spans="2:5" x14ac:dyDescent="0.25">
      <c r="B9" s="13" t="s">
        <v>58</v>
      </c>
      <c r="C9" s="14" t="s">
        <v>56</v>
      </c>
      <c r="D9" s="10"/>
      <c r="E9" s="11"/>
    </row>
    <row r="10" spans="2:5" x14ac:dyDescent="0.25">
      <c r="B10" s="13" t="s">
        <v>59</v>
      </c>
      <c r="C10" s="14" t="s">
        <v>54</v>
      </c>
      <c r="D10" s="10"/>
      <c r="E10" s="11"/>
    </row>
    <row r="11" spans="2:5" x14ac:dyDescent="0.25">
      <c r="B11" s="13" t="s">
        <v>60</v>
      </c>
      <c r="C11" s="14" t="s">
        <v>56</v>
      </c>
      <c r="D11" s="10"/>
      <c r="E11" s="11"/>
    </row>
    <row r="12" spans="2:5" x14ac:dyDescent="0.25">
      <c r="B12" s="13" t="s">
        <v>61</v>
      </c>
      <c r="C12" s="14" t="s">
        <v>56</v>
      </c>
      <c r="D12" s="10"/>
      <c r="E12" s="11"/>
    </row>
    <row r="13" spans="2:5" x14ac:dyDescent="0.25">
      <c r="B13" s="13" t="s">
        <v>62</v>
      </c>
      <c r="C13" s="14" t="s">
        <v>56</v>
      </c>
      <c r="D13" s="10"/>
      <c r="E13" s="11"/>
    </row>
    <row r="14" spans="2:5" x14ac:dyDescent="0.25">
      <c r="B14" s="13" t="s">
        <v>63</v>
      </c>
      <c r="C14" s="14" t="s">
        <v>56</v>
      </c>
      <c r="D14" s="10"/>
      <c r="E14" s="11"/>
    </row>
    <row r="15" spans="2:5" x14ac:dyDescent="0.25">
      <c r="B15" s="13" t="s">
        <v>64</v>
      </c>
      <c r="C15" s="14" t="s">
        <v>54</v>
      </c>
      <c r="D15" s="10"/>
      <c r="E15" s="11"/>
    </row>
    <row r="16" spans="2:5" x14ac:dyDescent="0.25">
      <c r="B16" s="13" t="s">
        <v>65</v>
      </c>
      <c r="C16" s="14" t="s">
        <v>56</v>
      </c>
      <c r="D16" s="10"/>
      <c r="E16" s="11"/>
    </row>
    <row r="17" spans="2:5" x14ac:dyDescent="0.25">
      <c r="B17" s="3" t="s">
        <v>66</v>
      </c>
      <c r="D17" s="12">
        <f>SUM(D6:D16)</f>
        <v>0</v>
      </c>
      <c r="E17" s="12">
        <f>SUM(E6:E16)</f>
        <v>0</v>
      </c>
    </row>
  </sheetData>
  <dataValidations count="1">
    <dataValidation type="list" allowBlank="1" sqref="C6:C16" xr:uid="{00000000-0002-0000-0200-000000000000}">
      <formula1>"Fixed,Variable"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00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30" sqref="M30"/>
    </sheetView>
  </sheetViews>
  <sheetFormatPr defaultColWidth="8.7109375" defaultRowHeight="15" x14ac:dyDescent="0.25"/>
  <cols>
    <col min="1" max="1" width="2" customWidth="1"/>
    <col min="2" max="2" width="13" customWidth="1"/>
    <col min="3" max="3" width="9" customWidth="1"/>
    <col min="4" max="4" width="10" customWidth="1"/>
    <col min="5" max="5" width="18" customWidth="1"/>
    <col min="6" max="6" width="28" customWidth="1"/>
    <col min="7" max="7" width="12" customWidth="1"/>
    <col min="10" max="10" width="7.85546875" customWidth="1"/>
    <col min="15" max="15" width="11.140625" customWidth="1"/>
    <col min="16" max="16" width="12.140625" customWidth="1"/>
    <col min="17" max="17" width="14.140625" bestFit="1" customWidth="1"/>
  </cols>
  <sheetData>
    <row r="2" spans="2:7" ht="20.25" x14ac:dyDescent="0.3">
      <c r="B2" s="1" t="s">
        <v>67</v>
      </c>
    </row>
    <row r="3" spans="2:7" x14ac:dyDescent="0.25">
      <c r="B3" s="2" t="s">
        <v>68</v>
      </c>
    </row>
    <row r="5" spans="2:7" ht="30" x14ac:dyDescent="0.25">
      <c r="B5" s="9" t="s">
        <v>69</v>
      </c>
      <c r="C5" s="9" t="s">
        <v>70</v>
      </c>
      <c r="D5" s="9" t="s">
        <v>71</v>
      </c>
      <c r="E5" s="9" t="s">
        <v>50</v>
      </c>
      <c r="F5" s="9" t="s">
        <v>72</v>
      </c>
      <c r="G5" s="9" t="s">
        <v>73</v>
      </c>
    </row>
    <row r="6" spans="2:7" x14ac:dyDescent="0.25">
      <c r="B6" s="23">
        <v>46024</v>
      </c>
      <c r="C6" s="16">
        <f t="shared" ref="C6:C64" si="0">IF(B6="","",INT((B6-DATE(YEAR(B6),1,1))/14)+1)</f>
        <v>1</v>
      </c>
      <c r="D6" s="16" t="str">
        <f t="shared" ref="D6:D64" si="1">IF(B6="","",TEXT(B6,"mmm"))</f>
        <v>Jan</v>
      </c>
      <c r="E6" s="27" t="s">
        <v>60</v>
      </c>
      <c r="F6" s="27" t="s">
        <v>87</v>
      </c>
      <c r="G6" s="25">
        <v>7.09</v>
      </c>
    </row>
    <row r="7" spans="2:7" x14ac:dyDescent="0.25">
      <c r="B7" s="23">
        <v>46024</v>
      </c>
      <c r="C7" s="16">
        <f t="shared" si="0"/>
        <v>1</v>
      </c>
      <c r="D7" s="16" t="str">
        <f t="shared" si="1"/>
        <v>Jan</v>
      </c>
      <c r="E7" s="27" t="s">
        <v>60</v>
      </c>
      <c r="F7" s="27" t="s">
        <v>88</v>
      </c>
      <c r="G7" s="25">
        <v>17.95</v>
      </c>
    </row>
    <row r="8" spans="2:7" x14ac:dyDescent="0.25">
      <c r="B8" s="23">
        <v>46024</v>
      </c>
      <c r="C8" s="16">
        <f t="shared" si="0"/>
        <v>1</v>
      </c>
      <c r="D8" s="16" t="str">
        <f t="shared" si="1"/>
        <v>Jan</v>
      </c>
      <c r="E8" s="27" t="s">
        <v>60</v>
      </c>
      <c r="F8" s="27" t="s">
        <v>89</v>
      </c>
      <c r="G8" s="25">
        <v>32.85</v>
      </c>
    </row>
    <row r="9" spans="2:7" x14ac:dyDescent="0.25">
      <c r="B9" s="23">
        <v>46024</v>
      </c>
      <c r="C9" s="16">
        <f t="shared" si="0"/>
        <v>1</v>
      </c>
      <c r="D9" s="16" t="str">
        <f t="shared" si="1"/>
        <v>Jan</v>
      </c>
      <c r="E9" s="27" t="s">
        <v>57</v>
      </c>
      <c r="F9" s="27" t="s">
        <v>90</v>
      </c>
      <c r="G9" s="24">
        <v>83.76</v>
      </c>
    </row>
    <row r="10" spans="2:7" x14ac:dyDescent="0.25">
      <c r="B10" s="23">
        <v>46027</v>
      </c>
      <c r="C10" s="16">
        <f t="shared" si="0"/>
        <v>1</v>
      </c>
      <c r="D10" s="16" t="str">
        <f t="shared" si="1"/>
        <v>Jan</v>
      </c>
      <c r="E10" s="27" t="s">
        <v>60</v>
      </c>
      <c r="F10" s="27" t="s">
        <v>92</v>
      </c>
      <c r="G10" s="25">
        <v>30.48</v>
      </c>
    </row>
    <row r="11" spans="2:7" x14ac:dyDescent="0.25">
      <c r="B11" s="23">
        <v>46027</v>
      </c>
      <c r="C11" s="16">
        <f t="shared" si="0"/>
        <v>1</v>
      </c>
      <c r="D11" s="16" t="str">
        <f t="shared" si="1"/>
        <v>Jan</v>
      </c>
      <c r="E11" s="27" t="s">
        <v>57</v>
      </c>
      <c r="F11" s="27" t="s">
        <v>93</v>
      </c>
      <c r="G11" s="25">
        <v>77.86</v>
      </c>
    </row>
    <row r="12" spans="2:7" x14ac:dyDescent="0.25">
      <c r="B12" s="23">
        <v>46027</v>
      </c>
      <c r="C12" s="16">
        <f t="shared" si="0"/>
        <v>1</v>
      </c>
      <c r="D12" s="16" t="str">
        <f t="shared" si="1"/>
        <v>Jan</v>
      </c>
      <c r="E12" s="27" t="s">
        <v>65</v>
      </c>
      <c r="F12" s="27" t="s">
        <v>94</v>
      </c>
      <c r="G12" s="25">
        <v>446.79</v>
      </c>
    </row>
    <row r="13" spans="2:7" x14ac:dyDescent="0.25">
      <c r="B13" s="23">
        <v>46027</v>
      </c>
      <c r="C13" s="16">
        <f t="shared" si="0"/>
        <v>1</v>
      </c>
      <c r="D13" s="16" t="str">
        <f t="shared" si="1"/>
        <v>Jan</v>
      </c>
      <c r="E13" s="27" t="s">
        <v>58</v>
      </c>
      <c r="F13" s="27" t="s">
        <v>91</v>
      </c>
      <c r="G13" s="25">
        <v>20</v>
      </c>
    </row>
    <row r="14" spans="2:7" x14ac:dyDescent="0.25">
      <c r="B14" s="23">
        <v>46029</v>
      </c>
      <c r="C14" s="16">
        <f t="shared" si="0"/>
        <v>1</v>
      </c>
      <c r="D14" s="16" t="str">
        <f t="shared" si="1"/>
        <v>Jan</v>
      </c>
      <c r="E14" s="27" t="s">
        <v>57</v>
      </c>
      <c r="F14" s="27" t="s">
        <v>96</v>
      </c>
      <c r="G14" s="25">
        <v>101</v>
      </c>
    </row>
    <row r="15" spans="2:7" x14ac:dyDescent="0.25">
      <c r="B15" s="23">
        <v>46029</v>
      </c>
      <c r="C15" s="16">
        <f t="shared" si="0"/>
        <v>1</v>
      </c>
      <c r="D15" s="16" t="str">
        <f t="shared" si="1"/>
        <v>Jan</v>
      </c>
      <c r="E15" s="26" t="s">
        <v>95</v>
      </c>
      <c r="F15" s="26" t="s">
        <v>95</v>
      </c>
      <c r="G15" s="25">
        <v>480</v>
      </c>
    </row>
    <row r="16" spans="2:7" x14ac:dyDescent="0.25">
      <c r="B16" s="23">
        <v>46029</v>
      </c>
      <c r="C16" s="16">
        <f t="shared" si="0"/>
        <v>1</v>
      </c>
      <c r="D16" s="16" t="str">
        <f t="shared" si="1"/>
        <v>Jan</v>
      </c>
      <c r="E16" s="26" t="s">
        <v>55</v>
      </c>
      <c r="F16" s="26" t="s">
        <v>97</v>
      </c>
      <c r="G16" s="25">
        <v>74</v>
      </c>
    </row>
    <row r="17" spans="2:7" x14ac:dyDescent="0.25">
      <c r="B17" s="23">
        <v>46030</v>
      </c>
      <c r="C17" s="16">
        <f t="shared" si="0"/>
        <v>1</v>
      </c>
      <c r="D17" s="16" t="str">
        <f t="shared" si="1"/>
        <v>Jan</v>
      </c>
      <c r="E17" s="26" t="s">
        <v>59</v>
      </c>
      <c r="F17" s="26" t="s">
        <v>98</v>
      </c>
      <c r="G17" s="25">
        <v>28.64</v>
      </c>
    </row>
    <row r="18" spans="2:7" x14ac:dyDescent="0.25">
      <c r="B18" s="23">
        <v>46031</v>
      </c>
      <c r="C18" s="16">
        <f t="shared" si="0"/>
        <v>1</v>
      </c>
      <c r="D18" s="16" t="str">
        <f t="shared" si="1"/>
        <v>Jan</v>
      </c>
      <c r="E18" s="26" t="s">
        <v>58</v>
      </c>
      <c r="F18" s="26" t="s">
        <v>91</v>
      </c>
      <c r="G18" s="25">
        <v>20</v>
      </c>
    </row>
    <row r="19" spans="2:7" x14ac:dyDescent="0.25">
      <c r="B19" s="23">
        <v>46031</v>
      </c>
      <c r="C19" s="16">
        <f t="shared" si="0"/>
        <v>1</v>
      </c>
      <c r="D19" s="16" t="str">
        <f t="shared" si="1"/>
        <v>Jan</v>
      </c>
      <c r="E19" s="26" t="s">
        <v>60</v>
      </c>
      <c r="F19" s="26" t="s">
        <v>99</v>
      </c>
      <c r="G19" s="25">
        <v>16.66</v>
      </c>
    </row>
    <row r="20" spans="2:7" x14ac:dyDescent="0.25">
      <c r="B20" s="23">
        <v>46031</v>
      </c>
      <c r="C20" s="16">
        <f t="shared" si="0"/>
        <v>1</v>
      </c>
      <c r="D20" s="16" t="str">
        <f t="shared" si="1"/>
        <v>Jan</v>
      </c>
      <c r="E20" s="26" t="s">
        <v>60</v>
      </c>
      <c r="F20" s="26" t="s">
        <v>87</v>
      </c>
      <c r="G20" s="25">
        <v>14.18</v>
      </c>
    </row>
    <row r="21" spans="2:7" x14ac:dyDescent="0.25">
      <c r="B21" s="23">
        <v>46034</v>
      </c>
      <c r="C21" s="16">
        <f t="shared" si="0"/>
        <v>1</v>
      </c>
      <c r="D21" s="16" t="str">
        <f t="shared" si="1"/>
        <v>Jan</v>
      </c>
      <c r="E21" s="26" t="s">
        <v>65</v>
      </c>
      <c r="F21" s="26" t="s">
        <v>65</v>
      </c>
      <c r="G21" s="25">
        <v>226</v>
      </c>
    </row>
    <row r="22" spans="2:7" x14ac:dyDescent="0.25">
      <c r="B22" s="23">
        <v>46034</v>
      </c>
      <c r="C22" s="16">
        <f t="shared" si="0"/>
        <v>1</v>
      </c>
      <c r="D22" s="16" t="str">
        <f t="shared" si="1"/>
        <v>Jan</v>
      </c>
      <c r="E22" s="26" t="s">
        <v>57</v>
      </c>
      <c r="F22" s="26" t="s">
        <v>93</v>
      </c>
      <c r="G22" s="25">
        <v>94.91</v>
      </c>
    </row>
    <row r="23" spans="2:7" x14ac:dyDescent="0.25">
      <c r="B23" s="23">
        <v>46035</v>
      </c>
      <c r="C23" s="16">
        <f t="shared" si="0"/>
        <v>1</v>
      </c>
      <c r="D23" s="16" t="str">
        <f t="shared" si="1"/>
        <v>Jan</v>
      </c>
      <c r="E23" s="26" t="s">
        <v>63</v>
      </c>
      <c r="F23" s="26" t="s">
        <v>100</v>
      </c>
      <c r="G23" s="25">
        <v>30.97</v>
      </c>
    </row>
    <row r="24" spans="2:7" x14ac:dyDescent="0.25">
      <c r="B24" s="23">
        <v>46036</v>
      </c>
      <c r="C24" s="16">
        <f t="shared" si="0"/>
        <v>1</v>
      </c>
      <c r="D24" s="16" t="str">
        <f t="shared" si="1"/>
        <v>Jan</v>
      </c>
      <c r="E24" s="26" t="s">
        <v>95</v>
      </c>
      <c r="F24" s="26" t="s">
        <v>95</v>
      </c>
      <c r="G24" s="25">
        <v>480</v>
      </c>
    </row>
    <row r="25" spans="2:7" x14ac:dyDescent="0.25">
      <c r="B25" s="23">
        <v>46036</v>
      </c>
      <c r="C25" s="16">
        <f t="shared" si="0"/>
        <v>1</v>
      </c>
      <c r="D25" s="16" t="str">
        <f t="shared" si="1"/>
        <v>Jan</v>
      </c>
      <c r="E25" s="26" t="s">
        <v>55</v>
      </c>
      <c r="F25" s="26" t="s">
        <v>101</v>
      </c>
      <c r="G25" s="25">
        <v>39</v>
      </c>
    </row>
    <row r="26" spans="2:7" x14ac:dyDescent="0.25">
      <c r="B26" s="23">
        <v>46037</v>
      </c>
      <c r="C26" s="16">
        <v>1</v>
      </c>
      <c r="D26" s="16" t="str">
        <f t="shared" si="1"/>
        <v>Jan</v>
      </c>
      <c r="E26" s="26" t="s">
        <v>65</v>
      </c>
      <c r="F26" s="26" t="s">
        <v>65</v>
      </c>
      <c r="G26" s="25">
        <v>226</v>
      </c>
    </row>
    <row r="27" spans="2:7" x14ac:dyDescent="0.25">
      <c r="B27" s="23">
        <v>46038</v>
      </c>
      <c r="C27" s="16">
        <f t="shared" si="0"/>
        <v>2</v>
      </c>
      <c r="D27" s="16" t="str">
        <f t="shared" si="1"/>
        <v>Jan</v>
      </c>
      <c r="E27" s="26" t="s">
        <v>58</v>
      </c>
      <c r="F27" s="26" t="s">
        <v>91</v>
      </c>
      <c r="G27" s="25">
        <v>20</v>
      </c>
    </row>
    <row r="28" spans="2:7" x14ac:dyDescent="0.25">
      <c r="B28" s="23">
        <v>46041</v>
      </c>
      <c r="C28" s="16">
        <f t="shared" si="0"/>
        <v>2</v>
      </c>
      <c r="D28" s="16" t="str">
        <f t="shared" si="1"/>
        <v>Jan</v>
      </c>
      <c r="E28" s="26" t="s">
        <v>64</v>
      </c>
      <c r="F28" s="26" t="s">
        <v>107</v>
      </c>
      <c r="G28" s="25">
        <v>9.99</v>
      </c>
    </row>
    <row r="29" spans="2:7" x14ac:dyDescent="0.25">
      <c r="B29" s="23">
        <v>46041</v>
      </c>
      <c r="C29" s="16">
        <f t="shared" si="0"/>
        <v>2</v>
      </c>
      <c r="D29" s="16" t="str">
        <f t="shared" si="1"/>
        <v>Jan</v>
      </c>
      <c r="E29" s="26" t="s">
        <v>65</v>
      </c>
      <c r="F29" s="26" t="s">
        <v>106</v>
      </c>
      <c r="G29" s="25">
        <v>12</v>
      </c>
    </row>
    <row r="30" spans="2:7" x14ac:dyDescent="0.25">
      <c r="B30" s="23">
        <v>46041</v>
      </c>
      <c r="C30" s="16">
        <f t="shared" si="0"/>
        <v>2</v>
      </c>
      <c r="D30" s="16" t="str">
        <f t="shared" si="1"/>
        <v>Jan</v>
      </c>
      <c r="E30" s="26" t="s">
        <v>57</v>
      </c>
      <c r="F30" s="26" t="s">
        <v>105</v>
      </c>
      <c r="G30" s="25">
        <v>12.46</v>
      </c>
    </row>
    <row r="31" spans="2:7" x14ac:dyDescent="0.25">
      <c r="B31" s="23">
        <v>46041</v>
      </c>
      <c r="C31" s="16">
        <f t="shared" si="0"/>
        <v>2</v>
      </c>
      <c r="D31" s="16" t="str">
        <f t="shared" si="1"/>
        <v>Jan</v>
      </c>
      <c r="E31" s="26" t="s">
        <v>65</v>
      </c>
      <c r="F31" s="26" t="s">
        <v>104</v>
      </c>
      <c r="G31" s="25">
        <v>25.39</v>
      </c>
    </row>
    <row r="32" spans="2:7" x14ac:dyDescent="0.25">
      <c r="B32" s="23">
        <v>46041</v>
      </c>
      <c r="C32" s="16">
        <f t="shared" si="0"/>
        <v>2</v>
      </c>
      <c r="D32" s="16" t="str">
        <f t="shared" si="1"/>
        <v>Jan</v>
      </c>
      <c r="E32" s="26" t="s">
        <v>65</v>
      </c>
      <c r="F32" s="26" t="s">
        <v>65</v>
      </c>
      <c r="G32" s="25">
        <v>42</v>
      </c>
    </row>
    <row r="33" spans="2:7" x14ac:dyDescent="0.25">
      <c r="B33" s="23">
        <v>46041</v>
      </c>
      <c r="C33" s="16">
        <f t="shared" si="0"/>
        <v>2</v>
      </c>
      <c r="D33" s="16" t="str">
        <f t="shared" si="1"/>
        <v>Jan</v>
      </c>
      <c r="E33" s="26" t="s">
        <v>58</v>
      </c>
      <c r="F33" s="26" t="s">
        <v>103</v>
      </c>
      <c r="G33" s="25">
        <v>33.51</v>
      </c>
    </row>
    <row r="34" spans="2:7" x14ac:dyDescent="0.25">
      <c r="B34" s="23">
        <v>46041</v>
      </c>
      <c r="C34" s="16">
        <f t="shared" si="0"/>
        <v>2</v>
      </c>
      <c r="D34" s="16" t="str">
        <f t="shared" si="1"/>
        <v>Jan</v>
      </c>
      <c r="E34" s="26" t="s">
        <v>57</v>
      </c>
      <c r="F34" s="26" t="s">
        <v>90</v>
      </c>
      <c r="G34" s="25">
        <v>30.91</v>
      </c>
    </row>
    <row r="35" spans="2:7" x14ac:dyDescent="0.25">
      <c r="B35" s="23">
        <v>46041</v>
      </c>
      <c r="C35" s="16">
        <f t="shared" si="0"/>
        <v>2</v>
      </c>
      <c r="D35" s="16" t="str">
        <f t="shared" si="1"/>
        <v>Jan</v>
      </c>
      <c r="E35" s="26" t="s">
        <v>65</v>
      </c>
      <c r="F35" s="26" t="s">
        <v>102</v>
      </c>
      <c r="G35" s="24">
        <v>4.97</v>
      </c>
    </row>
    <row r="36" spans="2:7" x14ac:dyDescent="0.25">
      <c r="B36" s="23">
        <v>46043</v>
      </c>
      <c r="C36" s="16">
        <f t="shared" si="0"/>
        <v>2</v>
      </c>
      <c r="D36" s="16" t="str">
        <f t="shared" si="1"/>
        <v>Jan</v>
      </c>
      <c r="E36" s="14" t="s">
        <v>57</v>
      </c>
      <c r="F36" s="14" t="s">
        <v>108</v>
      </c>
      <c r="G36" s="25">
        <v>2</v>
      </c>
    </row>
    <row r="37" spans="2:7" x14ac:dyDescent="0.25">
      <c r="B37" s="23">
        <v>46043</v>
      </c>
      <c r="C37" s="16">
        <f t="shared" si="0"/>
        <v>2</v>
      </c>
      <c r="D37" s="16" t="str">
        <f t="shared" si="1"/>
        <v>Jan</v>
      </c>
      <c r="E37" s="14" t="s">
        <v>57</v>
      </c>
      <c r="F37" s="14" t="s">
        <v>109</v>
      </c>
      <c r="G37" s="25">
        <v>11.26</v>
      </c>
    </row>
    <row r="38" spans="2:7" x14ac:dyDescent="0.25">
      <c r="B38" s="23">
        <v>46043</v>
      </c>
      <c r="C38" s="16">
        <f t="shared" si="0"/>
        <v>2</v>
      </c>
      <c r="D38" s="16" t="str">
        <f t="shared" si="1"/>
        <v>Jan</v>
      </c>
      <c r="E38" s="14" t="s">
        <v>57</v>
      </c>
      <c r="F38" s="14" t="s">
        <v>109</v>
      </c>
      <c r="G38" s="25">
        <v>26.33</v>
      </c>
    </row>
    <row r="39" spans="2:7" x14ac:dyDescent="0.25">
      <c r="B39" s="23">
        <v>46043</v>
      </c>
      <c r="C39" s="16">
        <f t="shared" si="0"/>
        <v>2</v>
      </c>
      <c r="D39" s="16" t="str">
        <f t="shared" si="1"/>
        <v>Jan</v>
      </c>
      <c r="E39" s="14" t="s">
        <v>95</v>
      </c>
      <c r="F39" s="26" t="s">
        <v>95</v>
      </c>
      <c r="G39" s="25">
        <v>500</v>
      </c>
    </row>
    <row r="40" spans="2:7" x14ac:dyDescent="0.25">
      <c r="B40" s="23">
        <v>46043</v>
      </c>
      <c r="C40" s="16">
        <f t="shared" si="0"/>
        <v>2</v>
      </c>
      <c r="D40" s="16" t="str">
        <f t="shared" si="1"/>
        <v>Jan</v>
      </c>
      <c r="E40" s="14" t="s">
        <v>55</v>
      </c>
      <c r="F40" s="14" t="s">
        <v>110</v>
      </c>
      <c r="G40" s="25">
        <v>156.5</v>
      </c>
    </row>
    <row r="41" spans="2:7" x14ac:dyDescent="0.25">
      <c r="B41" s="23">
        <v>46044</v>
      </c>
      <c r="C41" s="16">
        <f t="shared" si="0"/>
        <v>2</v>
      </c>
      <c r="D41" s="16" t="str">
        <f t="shared" si="1"/>
        <v>Jan</v>
      </c>
      <c r="E41" s="14" t="s">
        <v>59</v>
      </c>
      <c r="F41" s="14" t="s">
        <v>111</v>
      </c>
      <c r="G41" s="25">
        <v>86.1</v>
      </c>
    </row>
    <row r="42" spans="2:7" x14ac:dyDescent="0.25">
      <c r="B42" s="23">
        <v>46044</v>
      </c>
      <c r="C42" s="16">
        <f t="shared" si="0"/>
        <v>2</v>
      </c>
      <c r="D42" s="16" t="str">
        <f t="shared" si="1"/>
        <v>Jan</v>
      </c>
      <c r="E42" s="26" t="s">
        <v>65</v>
      </c>
      <c r="F42" s="26" t="s">
        <v>65</v>
      </c>
      <c r="G42" s="25">
        <v>226</v>
      </c>
    </row>
    <row r="43" spans="2:7" x14ac:dyDescent="0.25">
      <c r="B43" s="23">
        <v>46044</v>
      </c>
      <c r="C43" s="16">
        <f t="shared" si="0"/>
        <v>2</v>
      </c>
      <c r="D43" s="16" t="str">
        <f t="shared" si="1"/>
        <v>Jan</v>
      </c>
      <c r="E43" s="14" t="s">
        <v>59</v>
      </c>
      <c r="F43" s="14" t="s">
        <v>98</v>
      </c>
      <c r="G43" s="25">
        <v>28.64</v>
      </c>
    </row>
    <row r="44" spans="2:7" x14ac:dyDescent="0.25">
      <c r="B44" s="23">
        <v>46044</v>
      </c>
      <c r="C44" s="16">
        <f t="shared" si="0"/>
        <v>2</v>
      </c>
      <c r="D44" s="16" t="str">
        <f t="shared" si="1"/>
        <v>Jan</v>
      </c>
      <c r="E44" s="26" t="s">
        <v>58</v>
      </c>
      <c r="F44" s="26" t="s">
        <v>91</v>
      </c>
      <c r="G44" s="25">
        <v>20</v>
      </c>
    </row>
    <row r="45" spans="2:7" x14ac:dyDescent="0.25">
      <c r="B45" s="23">
        <v>46045</v>
      </c>
      <c r="C45" s="16">
        <f t="shared" si="0"/>
        <v>2</v>
      </c>
      <c r="D45" s="16" t="str">
        <f t="shared" si="1"/>
        <v>Jan</v>
      </c>
      <c r="E45" s="14" t="s">
        <v>60</v>
      </c>
      <c r="F45" s="14" t="s">
        <v>99</v>
      </c>
      <c r="G45" s="24">
        <v>46.2</v>
      </c>
    </row>
    <row r="46" spans="2:7" x14ac:dyDescent="0.25">
      <c r="B46" s="23">
        <v>46049</v>
      </c>
      <c r="C46" s="16">
        <f t="shared" si="0"/>
        <v>2</v>
      </c>
      <c r="D46" s="16" t="str">
        <f t="shared" si="1"/>
        <v>Jan</v>
      </c>
      <c r="E46" s="14" t="s">
        <v>57</v>
      </c>
      <c r="F46" s="14" t="s">
        <v>109</v>
      </c>
      <c r="G46" s="24">
        <v>31.79</v>
      </c>
    </row>
    <row r="47" spans="2:7" x14ac:dyDescent="0.25">
      <c r="B47" s="23">
        <v>46049</v>
      </c>
      <c r="C47" s="16">
        <f t="shared" si="0"/>
        <v>2</v>
      </c>
      <c r="D47" s="16" t="str">
        <f t="shared" si="1"/>
        <v>Jan</v>
      </c>
      <c r="E47" s="14" t="s">
        <v>57</v>
      </c>
      <c r="F47" s="14" t="s">
        <v>112</v>
      </c>
      <c r="G47" s="24">
        <v>53.33</v>
      </c>
    </row>
    <row r="48" spans="2:7" x14ac:dyDescent="0.25">
      <c r="B48" s="23">
        <v>46049</v>
      </c>
      <c r="C48" s="16">
        <f t="shared" si="0"/>
        <v>2</v>
      </c>
      <c r="D48" s="16" t="str">
        <f t="shared" si="1"/>
        <v>Jan</v>
      </c>
      <c r="E48" s="26" t="s">
        <v>65</v>
      </c>
      <c r="F48" s="26" t="s">
        <v>65</v>
      </c>
      <c r="G48" s="24">
        <v>70</v>
      </c>
    </row>
    <row r="49" spans="2:7" x14ac:dyDescent="0.25">
      <c r="B49" s="23">
        <v>46049</v>
      </c>
      <c r="C49" s="16">
        <f t="shared" si="0"/>
        <v>2</v>
      </c>
      <c r="D49" s="16" t="str">
        <f t="shared" si="1"/>
        <v>Jan</v>
      </c>
      <c r="E49" s="14" t="s">
        <v>57</v>
      </c>
      <c r="F49" s="14" t="s">
        <v>108</v>
      </c>
      <c r="G49" s="25">
        <v>4.5</v>
      </c>
    </row>
    <row r="50" spans="2:7" x14ac:dyDescent="0.25">
      <c r="B50" s="23">
        <v>46049</v>
      </c>
      <c r="C50" s="16">
        <f t="shared" si="0"/>
        <v>2</v>
      </c>
      <c r="D50" s="16" t="str">
        <f t="shared" si="1"/>
        <v>Jan</v>
      </c>
      <c r="E50" s="14" t="s">
        <v>60</v>
      </c>
      <c r="F50" s="14" t="s">
        <v>113</v>
      </c>
      <c r="G50" s="24">
        <v>26.92</v>
      </c>
    </row>
    <row r="51" spans="2:7" x14ac:dyDescent="0.25">
      <c r="B51" s="23">
        <v>46049</v>
      </c>
      <c r="C51" s="16">
        <f t="shared" si="0"/>
        <v>2</v>
      </c>
      <c r="D51" s="16" t="str">
        <f t="shared" si="1"/>
        <v>Jan</v>
      </c>
      <c r="E51" s="14" t="s">
        <v>57</v>
      </c>
      <c r="F51" s="14" t="s">
        <v>90</v>
      </c>
      <c r="G51" s="24">
        <v>40.64</v>
      </c>
    </row>
    <row r="52" spans="2:7" x14ac:dyDescent="0.25">
      <c r="B52" s="23">
        <v>46050</v>
      </c>
      <c r="C52" s="16">
        <f t="shared" si="0"/>
        <v>2</v>
      </c>
      <c r="D52" s="16" t="str">
        <f t="shared" si="1"/>
        <v>Jan</v>
      </c>
      <c r="E52" s="26" t="s">
        <v>58</v>
      </c>
      <c r="F52" s="26" t="s">
        <v>91</v>
      </c>
      <c r="G52" s="25">
        <v>20</v>
      </c>
    </row>
    <row r="53" spans="2:7" x14ac:dyDescent="0.25">
      <c r="B53" s="23">
        <v>46050</v>
      </c>
      <c r="C53" s="16">
        <f t="shared" si="0"/>
        <v>2</v>
      </c>
      <c r="D53" s="16" t="str">
        <f t="shared" si="1"/>
        <v>Jan</v>
      </c>
      <c r="E53" s="14" t="s">
        <v>95</v>
      </c>
      <c r="F53" s="26" t="s">
        <v>95</v>
      </c>
      <c r="G53" s="25">
        <v>500</v>
      </c>
    </row>
    <row r="54" spans="2:7" x14ac:dyDescent="0.25">
      <c r="B54" s="23">
        <v>46051</v>
      </c>
      <c r="C54" s="16">
        <v>2</v>
      </c>
      <c r="D54" s="28" t="str">
        <f t="shared" si="1"/>
        <v>Jan</v>
      </c>
      <c r="E54" s="29" t="s">
        <v>60</v>
      </c>
      <c r="F54" s="29" t="s">
        <v>89</v>
      </c>
      <c r="G54" s="25">
        <v>42.54</v>
      </c>
    </row>
    <row r="55" spans="2:7" x14ac:dyDescent="0.25">
      <c r="B55" s="23">
        <v>46051</v>
      </c>
      <c r="C55" s="16">
        <v>2</v>
      </c>
      <c r="D55" s="28" t="str">
        <f t="shared" si="1"/>
        <v>Jan</v>
      </c>
      <c r="E55" s="14" t="s">
        <v>57</v>
      </c>
      <c r="F55" s="14" t="s">
        <v>109</v>
      </c>
      <c r="G55" s="25">
        <v>36.369999999999997</v>
      </c>
    </row>
    <row r="56" spans="2:7" x14ac:dyDescent="0.25">
      <c r="B56" s="23">
        <v>46051</v>
      </c>
      <c r="C56" s="16">
        <v>2</v>
      </c>
      <c r="D56" s="28" t="str">
        <f t="shared" si="1"/>
        <v>Jan</v>
      </c>
      <c r="E56" s="14" t="s">
        <v>57</v>
      </c>
      <c r="F56" s="14" t="s">
        <v>108</v>
      </c>
      <c r="G56" s="25">
        <v>29.5</v>
      </c>
    </row>
    <row r="57" spans="2:7" x14ac:dyDescent="0.25">
      <c r="B57" s="23">
        <v>46052</v>
      </c>
      <c r="C57" s="28">
        <v>2</v>
      </c>
      <c r="D57" s="28" t="str">
        <f t="shared" si="1"/>
        <v>Jan</v>
      </c>
      <c r="E57" s="14" t="s">
        <v>57</v>
      </c>
      <c r="F57" s="14" t="s">
        <v>90</v>
      </c>
      <c r="G57" s="25">
        <v>14.24</v>
      </c>
    </row>
    <row r="58" spans="2:7" x14ac:dyDescent="0.25">
      <c r="B58" s="23">
        <v>46052</v>
      </c>
      <c r="C58" s="28">
        <v>2</v>
      </c>
      <c r="D58" s="28" t="str">
        <f t="shared" si="1"/>
        <v>Jan</v>
      </c>
      <c r="E58" s="29" t="s">
        <v>60</v>
      </c>
      <c r="F58" s="29" t="s">
        <v>114</v>
      </c>
      <c r="G58" s="25">
        <v>23.9</v>
      </c>
    </row>
    <row r="59" spans="2:7" x14ac:dyDescent="0.25">
      <c r="B59" s="23">
        <v>46055</v>
      </c>
      <c r="C59" s="28">
        <v>1</v>
      </c>
      <c r="D59" s="28" t="str">
        <f t="shared" si="1"/>
        <v>Feb</v>
      </c>
      <c r="E59" s="26" t="s">
        <v>63</v>
      </c>
      <c r="F59" s="26" t="s">
        <v>100</v>
      </c>
      <c r="G59" s="25">
        <v>16.989999999999998</v>
      </c>
    </row>
    <row r="60" spans="2:7" x14ac:dyDescent="0.25">
      <c r="B60" s="23">
        <v>46055</v>
      </c>
      <c r="C60" s="28">
        <v>1</v>
      </c>
      <c r="D60" s="28" t="str">
        <f t="shared" si="1"/>
        <v>Feb</v>
      </c>
      <c r="E60" s="26" t="s">
        <v>65</v>
      </c>
      <c r="F60" s="26" t="s">
        <v>102</v>
      </c>
      <c r="G60" s="25">
        <v>20.9</v>
      </c>
    </row>
    <row r="61" spans="2:7" x14ac:dyDescent="0.25">
      <c r="B61" s="23">
        <v>46055</v>
      </c>
      <c r="C61" s="28">
        <v>1</v>
      </c>
      <c r="D61" s="28" t="str">
        <f t="shared" si="1"/>
        <v>Feb</v>
      </c>
      <c r="E61" s="29" t="s">
        <v>65</v>
      </c>
      <c r="F61" s="29" t="s">
        <v>116</v>
      </c>
      <c r="G61" s="25">
        <v>203.96</v>
      </c>
    </row>
    <row r="62" spans="2:7" x14ac:dyDescent="0.25">
      <c r="B62" s="23">
        <v>46055</v>
      </c>
      <c r="C62" s="28">
        <v>1</v>
      </c>
      <c r="D62" s="28" t="str">
        <f t="shared" si="1"/>
        <v>Feb</v>
      </c>
      <c r="E62" s="29" t="s">
        <v>60</v>
      </c>
      <c r="F62" s="29" t="s">
        <v>115</v>
      </c>
      <c r="G62" s="25">
        <v>239.8</v>
      </c>
    </row>
    <row r="63" spans="2:7" x14ac:dyDescent="0.25">
      <c r="B63" s="23">
        <v>46055</v>
      </c>
      <c r="C63" s="28">
        <v>1</v>
      </c>
      <c r="D63" s="28" t="str">
        <f t="shared" si="1"/>
        <v>Feb</v>
      </c>
      <c r="E63" s="29" t="s">
        <v>59</v>
      </c>
      <c r="F63" s="29" t="s">
        <v>98</v>
      </c>
      <c r="G63" s="25">
        <v>274.95999999999998</v>
      </c>
    </row>
    <row r="64" spans="2:7" x14ac:dyDescent="0.25">
      <c r="B64" s="23">
        <v>46056</v>
      </c>
      <c r="C64" s="28">
        <v>1</v>
      </c>
      <c r="D64" s="28" t="str">
        <f t="shared" si="1"/>
        <v>Feb</v>
      </c>
      <c r="E64" s="29" t="s">
        <v>57</v>
      </c>
      <c r="F64" s="29" t="s">
        <v>106</v>
      </c>
      <c r="G64" s="25">
        <v>12</v>
      </c>
    </row>
    <row r="65" spans="2:7" x14ac:dyDescent="0.25">
      <c r="B65" s="23">
        <v>46056</v>
      </c>
      <c r="C65" s="28">
        <v>1</v>
      </c>
      <c r="D65" s="28" t="str">
        <f t="shared" ref="D65:D128" si="2">IF(B65="","",TEXT(B65,"mmm"))</f>
        <v>Feb</v>
      </c>
      <c r="E65" s="29" t="s">
        <v>60</v>
      </c>
      <c r="F65" s="29" t="s">
        <v>117</v>
      </c>
      <c r="G65" s="25">
        <v>10.6</v>
      </c>
    </row>
    <row r="66" spans="2:7" x14ac:dyDescent="0.25">
      <c r="B66" s="23">
        <v>46057</v>
      </c>
      <c r="C66" s="28">
        <v>1</v>
      </c>
      <c r="D66" s="28" t="str">
        <f t="shared" si="2"/>
        <v>Feb</v>
      </c>
      <c r="E66" s="29" t="s">
        <v>65</v>
      </c>
      <c r="F66" s="29" t="s">
        <v>118</v>
      </c>
      <c r="G66" s="25">
        <v>0.8</v>
      </c>
    </row>
    <row r="67" spans="2:7" x14ac:dyDescent="0.25">
      <c r="B67" s="23">
        <v>46057</v>
      </c>
      <c r="C67" s="28">
        <v>1</v>
      </c>
      <c r="D67" s="28" t="str">
        <f t="shared" si="2"/>
        <v>Feb</v>
      </c>
      <c r="E67" s="29" t="s">
        <v>65</v>
      </c>
      <c r="F67" s="29" t="s">
        <v>119</v>
      </c>
      <c r="G67" s="25">
        <v>26.26</v>
      </c>
    </row>
    <row r="68" spans="2:7" x14ac:dyDescent="0.25">
      <c r="B68" s="23">
        <v>46057</v>
      </c>
      <c r="C68" s="28">
        <v>1</v>
      </c>
      <c r="D68" s="28" t="str">
        <f t="shared" si="2"/>
        <v>Feb</v>
      </c>
      <c r="E68" s="29" t="s">
        <v>55</v>
      </c>
      <c r="F68" s="29" t="s">
        <v>101</v>
      </c>
      <c r="G68" s="25">
        <v>39</v>
      </c>
    </row>
    <row r="69" spans="2:7" x14ac:dyDescent="0.25">
      <c r="B69" s="23">
        <v>46057</v>
      </c>
      <c r="C69" s="28">
        <v>1</v>
      </c>
      <c r="D69" s="28" t="str">
        <f t="shared" si="2"/>
        <v>Feb</v>
      </c>
      <c r="E69" s="29" t="s">
        <v>95</v>
      </c>
      <c r="F69" s="29" t="s">
        <v>95</v>
      </c>
      <c r="G69" s="25">
        <v>500</v>
      </c>
    </row>
    <row r="70" spans="2:7" x14ac:dyDescent="0.25">
      <c r="B70" s="23">
        <v>46057</v>
      </c>
      <c r="C70" s="28">
        <v>1</v>
      </c>
      <c r="D70" s="28" t="str">
        <f t="shared" si="2"/>
        <v>Feb</v>
      </c>
      <c r="E70" s="26" t="s">
        <v>58</v>
      </c>
      <c r="F70" s="26" t="s">
        <v>103</v>
      </c>
      <c r="G70" s="25">
        <v>48.08</v>
      </c>
    </row>
    <row r="71" spans="2:7" x14ac:dyDescent="0.25">
      <c r="B71" s="23">
        <v>46058</v>
      </c>
      <c r="C71" s="28">
        <v>1</v>
      </c>
      <c r="D71" s="28" t="str">
        <f t="shared" si="2"/>
        <v>Feb</v>
      </c>
      <c r="E71" s="29" t="s">
        <v>55</v>
      </c>
      <c r="F71" s="29" t="s">
        <v>97</v>
      </c>
      <c r="G71" s="25">
        <v>20</v>
      </c>
    </row>
    <row r="72" spans="2:7" x14ac:dyDescent="0.25">
      <c r="B72" s="23">
        <v>46058</v>
      </c>
      <c r="C72" s="28">
        <v>1</v>
      </c>
      <c r="D72" s="28" t="str">
        <f t="shared" si="2"/>
        <v>Feb</v>
      </c>
      <c r="E72" s="26" t="s">
        <v>58</v>
      </c>
      <c r="F72" s="26" t="s">
        <v>91</v>
      </c>
      <c r="G72" s="25">
        <v>74</v>
      </c>
    </row>
    <row r="73" spans="2:7" x14ac:dyDescent="0.25">
      <c r="B73" s="23">
        <v>46062</v>
      </c>
      <c r="C73" s="28">
        <v>1</v>
      </c>
      <c r="D73" s="28" t="str">
        <f t="shared" si="2"/>
        <v>Feb</v>
      </c>
      <c r="E73" s="26" t="s">
        <v>58</v>
      </c>
      <c r="F73" s="26" t="s">
        <v>123</v>
      </c>
      <c r="G73" s="25">
        <v>26.71</v>
      </c>
    </row>
    <row r="74" spans="2:7" x14ac:dyDescent="0.25">
      <c r="B74" s="23">
        <v>46062</v>
      </c>
      <c r="C74" s="28">
        <v>1</v>
      </c>
      <c r="D74" s="28" t="str">
        <f t="shared" si="2"/>
        <v>Feb</v>
      </c>
      <c r="E74" s="26" t="s">
        <v>57</v>
      </c>
      <c r="F74" s="26" t="s">
        <v>112</v>
      </c>
      <c r="G74" s="25">
        <v>29.91</v>
      </c>
    </row>
    <row r="75" spans="2:7" x14ac:dyDescent="0.25">
      <c r="B75" s="23">
        <v>46062</v>
      </c>
      <c r="C75" s="28">
        <v>1</v>
      </c>
      <c r="D75" s="28" t="str">
        <f t="shared" si="2"/>
        <v>Feb</v>
      </c>
      <c r="E75" s="26" t="s">
        <v>58</v>
      </c>
      <c r="F75" s="26" t="s">
        <v>122</v>
      </c>
      <c r="G75" s="25">
        <v>43.02</v>
      </c>
    </row>
    <row r="76" spans="2:7" x14ac:dyDescent="0.25">
      <c r="B76" s="23">
        <v>46062</v>
      </c>
      <c r="C76" s="28">
        <v>1</v>
      </c>
      <c r="D76" s="28" t="str">
        <f t="shared" si="2"/>
        <v>Feb</v>
      </c>
      <c r="E76" s="26" t="s">
        <v>57</v>
      </c>
      <c r="F76" s="26" t="s">
        <v>108</v>
      </c>
      <c r="G76" s="25">
        <v>49</v>
      </c>
    </row>
    <row r="77" spans="2:7" x14ac:dyDescent="0.25">
      <c r="B77" s="23">
        <v>46062</v>
      </c>
      <c r="C77" s="28">
        <v>1</v>
      </c>
      <c r="D77" s="28" t="str">
        <f t="shared" si="2"/>
        <v>Feb</v>
      </c>
      <c r="E77" s="26" t="s">
        <v>60</v>
      </c>
      <c r="F77" s="26" t="s">
        <v>121</v>
      </c>
      <c r="G77" s="25">
        <v>49.49</v>
      </c>
    </row>
    <row r="78" spans="2:7" x14ac:dyDescent="0.25">
      <c r="B78" s="23">
        <v>46062</v>
      </c>
      <c r="C78" s="28">
        <v>1</v>
      </c>
      <c r="D78" s="28" t="str">
        <f t="shared" si="2"/>
        <v>Feb</v>
      </c>
      <c r="E78" s="26" t="s">
        <v>60</v>
      </c>
      <c r="F78" s="26" t="s">
        <v>120</v>
      </c>
      <c r="G78" s="25">
        <v>7</v>
      </c>
    </row>
    <row r="79" spans="2:7" x14ac:dyDescent="0.25">
      <c r="B79" s="23">
        <v>46062</v>
      </c>
      <c r="C79" s="28">
        <v>1</v>
      </c>
      <c r="D79" s="28" t="str">
        <f t="shared" si="2"/>
        <v>Feb</v>
      </c>
      <c r="E79" s="26" t="s">
        <v>57</v>
      </c>
      <c r="F79" s="26" t="s">
        <v>90</v>
      </c>
      <c r="G79" s="25">
        <v>7.58</v>
      </c>
    </row>
    <row r="80" spans="2:7" x14ac:dyDescent="0.25">
      <c r="B80" s="23">
        <v>46063</v>
      </c>
      <c r="C80" s="28">
        <v>1</v>
      </c>
      <c r="D80" s="28" t="str">
        <f t="shared" si="2"/>
        <v>Feb</v>
      </c>
      <c r="E80" s="26" t="s">
        <v>58</v>
      </c>
      <c r="F80" s="26" t="s">
        <v>123</v>
      </c>
      <c r="G80" s="25">
        <v>0.64</v>
      </c>
    </row>
    <row r="81" spans="2:7" x14ac:dyDescent="0.25">
      <c r="B81" s="23">
        <v>46064</v>
      </c>
      <c r="C81" s="28">
        <v>1</v>
      </c>
      <c r="D81" s="28" t="str">
        <f t="shared" si="2"/>
        <v>Feb</v>
      </c>
      <c r="E81" s="26" t="s">
        <v>60</v>
      </c>
      <c r="F81" s="26" t="s">
        <v>121</v>
      </c>
      <c r="G81" s="24">
        <v>57.93</v>
      </c>
    </row>
    <row r="82" spans="2:7" x14ac:dyDescent="0.25">
      <c r="B82" s="23">
        <v>46064</v>
      </c>
      <c r="C82" s="28">
        <v>1</v>
      </c>
      <c r="D82" s="28" t="str">
        <f t="shared" si="2"/>
        <v>Feb</v>
      </c>
      <c r="E82" s="29" t="s">
        <v>95</v>
      </c>
      <c r="F82" s="29" t="s">
        <v>95</v>
      </c>
      <c r="G82" s="24">
        <v>500</v>
      </c>
    </row>
    <row r="83" spans="2:7" x14ac:dyDescent="0.25">
      <c r="B83" s="23">
        <v>46064</v>
      </c>
      <c r="C83" s="28">
        <v>1</v>
      </c>
      <c r="D83" s="28" t="str">
        <f t="shared" si="2"/>
        <v>Feb</v>
      </c>
      <c r="E83" s="29" t="s">
        <v>65</v>
      </c>
      <c r="F83" s="29" t="s">
        <v>119</v>
      </c>
      <c r="G83" s="24">
        <v>6.98</v>
      </c>
    </row>
    <row r="84" spans="2:7" x14ac:dyDescent="0.25">
      <c r="B84" s="23">
        <v>46065</v>
      </c>
      <c r="C84" s="28">
        <v>1</v>
      </c>
      <c r="D84" s="16" t="str">
        <f t="shared" si="2"/>
        <v>Feb</v>
      </c>
      <c r="E84" s="26" t="s">
        <v>60</v>
      </c>
      <c r="F84" s="26" t="s">
        <v>121</v>
      </c>
      <c r="G84" s="25">
        <v>56.78</v>
      </c>
    </row>
    <row r="85" spans="2:7" x14ac:dyDescent="0.25">
      <c r="B85" s="23">
        <v>46065</v>
      </c>
      <c r="C85" s="28">
        <v>1</v>
      </c>
      <c r="D85" s="16" t="str">
        <f t="shared" si="2"/>
        <v>Feb</v>
      </c>
      <c r="E85" s="26" t="s">
        <v>60</v>
      </c>
      <c r="F85" s="26" t="s">
        <v>121</v>
      </c>
      <c r="G85" s="25">
        <v>25.07</v>
      </c>
    </row>
    <row r="86" spans="2:7" x14ac:dyDescent="0.25">
      <c r="B86" s="23">
        <v>46066</v>
      </c>
      <c r="C86" s="16">
        <v>1</v>
      </c>
      <c r="D86" s="16" t="str">
        <f t="shared" si="2"/>
        <v>Feb</v>
      </c>
      <c r="E86" s="29" t="s">
        <v>65</v>
      </c>
      <c r="F86" s="29" t="s">
        <v>124</v>
      </c>
      <c r="G86" s="24">
        <v>4.75</v>
      </c>
    </row>
    <row r="87" spans="2:7" x14ac:dyDescent="0.25">
      <c r="B87" s="15"/>
      <c r="C87" s="16" t="str">
        <f t="shared" ref="C65:C128" si="3">IF(B87="","",INT((B87-DATE(YEAR(B87),1,1))/14)+1)</f>
        <v/>
      </c>
      <c r="D87" s="16" t="str">
        <f t="shared" si="2"/>
        <v/>
      </c>
      <c r="E87" s="14"/>
      <c r="F87" s="14"/>
      <c r="G87" s="10"/>
    </row>
    <row r="88" spans="2:7" x14ac:dyDescent="0.25">
      <c r="B88" s="15"/>
      <c r="C88" s="16" t="str">
        <f t="shared" si="3"/>
        <v/>
      </c>
      <c r="D88" s="16" t="str">
        <f t="shared" si="2"/>
        <v/>
      </c>
      <c r="E88" s="14"/>
      <c r="F88" s="14"/>
      <c r="G88" s="10"/>
    </row>
    <row r="89" spans="2:7" x14ac:dyDescent="0.25">
      <c r="B89" s="15"/>
      <c r="C89" s="16" t="str">
        <f t="shared" si="3"/>
        <v/>
      </c>
      <c r="D89" s="16" t="str">
        <f t="shared" si="2"/>
        <v/>
      </c>
      <c r="E89" s="14"/>
      <c r="F89" s="14"/>
      <c r="G89" s="10"/>
    </row>
    <row r="90" spans="2:7" x14ac:dyDescent="0.25">
      <c r="B90" s="15"/>
      <c r="C90" s="16" t="str">
        <f t="shared" si="3"/>
        <v/>
      </c>
      <c r="D90" s="16" t="str">
        <f t="shared" si="2"/>
        <v/>
      </c>
      <c r="E90" s="14"/>
      <c r="F90" s="14"/>
      <c r="G90" s="10"/>
    </row>
    <row r="91" spans="2:7" x14ac:dyDescent="0.25">
      <c r="B91" s="15"/>
      <c r="C91" s="16" t="str">
        <f t="shared" si="3"/>
        <v/>
      </c>
      <c r="D91" s="16" t="str">
        <f t="shared" si="2"/>
        <v/>
      </c>
      <c r="E91" s="14"/>
      <c r="F91" s="14"/>
      <c r="G91" s="10"/>
    </row>
    <row r="92" spans="2:7" x14ac:dyDescent="0.25">
      <c r="B92" s="15"/>
      <c r="C92" s="16" t="str">
        <f t="shared" si="3"/>
        <v/>
      </c>
      <c r="D92" s="16" t="str">
        <f t="shared" si="2"/>
        <v/>
      </c>
      <c r="E92" s="14"/>
      <c r="F92" s="14"/>
      <c r="G92" s="10"/>
    </row>
    <row r="93" spans="2:7" x14ac:dyDescent="0.25">
      <c r="B93" s="15"/>
      <c r="C93" s="16" t="str">
        <f t="shared" si="3"/>
        <v/>
      </c>
      <c r="D93" s="16" t="str">
        <f t="shared" si="2"/>
        <v/>
      </c>
      <c r="E93" s="14"/>
      <c r="F93" s="14"/>
      <c r="G93" s="10"/>
    </row>
    <row r="94" spans="2:7" x14ac:dyDescent="0.25">
      <c r="B94" s="15"/>
      <c r="C94" s="16" t="str">
        <f t="shared" si="3"/>
        <v/>
      </c>
      <c r="D94" s="16" t="str">
        <f t="shared" si="2"/>
        <v/>
      </c>
      <c r="E94" s="14"/>
      <c r="F94" s="14"/>
      <c r="G94" s="10"/>
    </row>
    <row r="95" spans="2:7" x14ac:dyDescent="0.25">
      <c r="B95" s="15"/>
      <c r="C95" s="16" t="str">
        <f t="shared" si="3"/>
        <v/>
      </c>
      <c r="D95" s="16" t="str">
        <f t="shared" si="2"/>
        <v/>
      </c>
      <c r="E95" s="14"/>
      <c r="F95" s="14"/>
      <c r="G95" s="10"/>
    </row>
    <row r="96" spans="2:7" x14ac:dyDescent="0.25">
      <c r="B96" s="15"/>
      <c r="C96" s="16" t="str">
        <f t="shared" si="3"/>
        <v/>
      </c>
      <c r="D96" s="16" t="str">
        <f t="shared" si="2"/>
        <v/>
      </c>
      <c r="E96" s="14"/>
      <c r="F96" s="14"/>
      <c r="G96" s="10"/>
    </row>
    <row r="97" spans="2:7" x14ac:dyDescent="0.25">
      <c r="B97" s="15"/>
      <c r="C97" s="16" t="str">
        <f t="shared" si="3"/>
        <v/>
      </c>
      <c r="D97" s="16" t="str">
        <f t="shared" si="2"/>
        <v/>
      </c>
      <c r="E97" s="14"/>
      <c r="F97" s="14"/>
      <c r="G97" s="10"/>
    </row>
    <row r="98" spans="2:7" x14ac:dyDescent="0.25">
      <c r="B98" s="15"/>
      <c r="C98" s="16" t="str">
        <f t="shared" si="3"/>
        <v/>
      </c>
      <c r="D98" s="16" t="str">
        <f t="shared" si="2"/>
        <v/>
      </c>
      <c r="E98" s="14"/>
      <c r="F98" s="14"/>
      <c r="G98" s="10"/>
    </row>
    <row r="99" spans="2:7" x14ac:dyDescent="0.25">
      <c r="B99" s="15"/>
      <c r="C99" s="16" t="str">
        <f t="shared" si="3"/>
        <v/>
      </c>
      <c r="D99" s="16" t="str">
        <f t="shared" si="2"/>
        <v/>
      </c>
      <c r="E99" s="14"/>
      <c r="F99" s="14"/>
      <c r="G99" s="10"/>
    </row>
    <row r="100" spans="2:7" x14ac:dyDescent="0.25">
      <c r="B100" s="15"/>
      <c r="C100" s="16" t="str">
        <f t="shared" si="3"/>
        <v/>
      </c>
      <c r="D100" s="16" t="str">
        <f t="shared" si="2"/>
        <v/>
      </c>
      <c r="E100" s="14"/>
      <c r="F100" s="14"/>
      <c r="G100" s="10"/>
    </row>
    <row r="101" spans="2:7" x14ac:dyDescent="0.25">
      <c r="B101" s="15"/>
      <c r="C101" s="16" t="str">
        <f t="shared" si="3"/>
        <v/>
      </c>
      <c r="D101" s="16" t="str">
        <f t="shared" si="2"/>
        <v/>
      </c>
      <c r="E101" s="14"/>
      <c r="F101" s="14"/>
      <c r="G101" s="10"/>
    </row>
    <row r="102" spans="2:7" x14ac:dyDescent="0.25">
      <c r="B102" s="15"/>
      <c r="C102" s="16" t="str">
        <f t="shared" si="3"/>
        <v/>
      </c>
      <c r="D102" s="16" t="str">
        <f t="shared" si="2"/>
        <v/>
      </c>
      <c r="E102" s="14"/>
      <c r="F102" s="14"/>
      <c r="G102" s="10"/>
    </row>
    <row r="103" spans="2:7" x14ac:dyDescent="0.25">
      <c r="B103" s="15"/>
      <c r="C103" s="16" t="str">
        <f t="shared" si="3"/>
        <v/>
      </c>
      <c r="D103" s="16" t="str">
        <f t="shared" si="2"/>
        <v/>
      </c>
      <c r="E103" s="14"/>
      <c r="F103" s="14"/>
      <c r="G103" s="10"/>
    </row>
    <row r="104" spans="2:7" x14ac:dyDescent="0.25">
      <c r="B104" s="15"/>
      <c r="C104" s="16" t="str">
        <f t="shared" si="3"/>
        <v/>
      </c>
      <c r="D104" s="16" t="str">
        <f t="shared" si="2"/>
        <v/>
      </c>
      <c r="E104" s="14"/>
      <c r="F104" s="14"/>
      <c r="G104" s="10"/>
    </row>
    <row r="105" spans="2:7" x14ac:dyDescent="0.25">
      <c r="B105" s="15"/>
      <c r="C105" s="16" t="str">
        <f t="shared" si="3"/>
        <v/>
      </c>
      <c r="D105" s="16" t="str">
        <f t="shared" si="2"/>
        <v/>
      </c>
      <c r="E105" s="14"/>
      <c r="F105" s="14"/>
      <c r="G105" s="10"/>
    </row>
    <row r="106" spans="2:7" x14ac:dyDescent="0.25">
      <c r="B106" s="15"/>
      <c r="C106" s="16" t="str">
        <f t="shared" si="3"/>
        <v/>
      </c>
      <c r="D106" s="16" t="str">
        <f t="shared" si="2"/>
        <v/>
      </c>
      <c r="E106" s="14"/>
      <c r="F106" s="14"/>
      <c r="G106" s="10"/>
    </row>
    <row r="107" spans="2:7" x14ac:dyDescent="0.25">
      <c r="B107" s="15"/>
      <c r="C107" s="16" t="str">
        <f t="shared" si="3"/>
        <v/>
      </c>
      <c r="D107" s="16" t="str">
        <f t="shared" si="2"/>
        <v/>
      </c>
      <c r="E107" s="14"/>
      <c r="F107" s="14"/>
      <c r="G107" s="10"/>
    </row>
    <row r="108" spans="2:7" x14ac:dyDescent="0.25">
      <c r="B108" s="15"/>
      <c r="C108" s="16" t="str">
        <f t="shared" si="3"/>
        <v/>
      </c>
      <c r="D108" s="16" t="str">
        <f t="shared" si="2"/>
        <v/>
      </c>
      <c r="E108" s="14"/>
      <c r="F108" s="14"/>
      <c r="G108" s="10"/>
    </row>
    <row r="109" spans="2:7" x14ac:dyDescent="0.25">
      <c r="B109" s="15"/>
      <c r="C109" s="16" t="str">
        <f t="shared" si="3"/>
        <v/>
      </c>
      <c r="D109" s="16" t="str">
        <f t="shared" si="2"/>
        <v/>
      </c>
      <c r="E109" s="14"/>
      <c r="F109" s="14"/>
      <c r="G109" s="10"/>
    </row>
    <row r="110" spans="2:7" x14ac:dyDescent="0.25">
      <c r="B110" s="15"/>
      <c r="C110" s="16" t="str">
        <f t="shared" si="3"/>
        <v/>
      </c>
      <c r="D110" s="16" t="str">
        <f t="shared" si="2"/>
        <v/>
      </c>
      <c r="E110" s="14"/>
      <c r="F110" s="14"/>
      <c r="G110" s="10"/>
    </row>
    <row r="111" spans="2:7" x14ac:dyDescent="0.25">
      <c r="B111" s="15"/>
      <c r="C111" s="16" t="str">
        <f t="shared" si="3"/>
        <v/>
      </c>
      <c r="D111" s="16" t="str">
        <f t="shared" si="2"/>
        <v/>
      </c>
      <c r="E111" s="14"/>
      <c r="F111" s="14"/>
      <c r="G111" s="10"/>
    </row>
    <row r="112" spans="2:7" x14ac:dyDescent="0.25">
      <c r="B112" s="15"/>
      <c r="C112" s="16" t="str">
        <f t="shared" si="3"/>
        <v/>
      </c>
      <c r="D112" s="16" t="str">
        <f t="shared" si="2"/>
        <v/>
      </c>
      <c r="E112" s="14"/>
      <c r="F112" s="14"/>
      <c r="G112" s="10"/>
    </row>
    <row r="113" spans="2:7" x14ac:dyDescent="0.25">
      <c r="B113" s="15"/>
      <c r="C113" s="16" t="str">
        <f t="shared" si="3"/>
        <v/>
      </c>
      <c r="D113" s="16" t="str">
        <f t="shared" si="2"/>
        <v/>
      </c>
      <c r="E113" s="14"/>
      <c r="F113" s="14"/>
      <c r="G113" s="10"/>
    </row>
    <row r="114" spans="2:7" x14ac:dyDescent="0.25">
      <c r="B114" s="15"/>
      <c r="C114" s="16" t="str">
        <f t="shared" si="3"/>
        <v/>
      </c>
      <c r="D114" s="16" t="str">
        <f t="shared" si="2"/>
        <v/>
      </c>
      <c r="E114" s="14"/>
      <c r="F114" s="14"/>
      <c r="G114" s="10"/>
    </row>
    <row r="115" spans="2:7" x14ac:dyDescent="0.25">
      <c r="B115" s="15"/>
      <c r="C115" s="16" t="str">
        <f t="shared" si="3"/>
        <v/>
      </c>
      <c r="D115" s="16" t="str">
        <f t="shared" si="2"/>
        <v/>
      </c>
      <c r="E115" s="14"/>
      <c r="F115" s="14"/>
      <c r="G115" s="10"/>
    </row>
    <row r="116" spans="2:7" x14ac:dyDescent="0.25">
      <c r="B116" s="15"/>
      <c r="C116" s="16" t="str">
        <f t="shared" si="3"/>
        <v/>
      </c>
      <c r="D116" s="16" t="str">
        <f t="shared" si="2"/>
        <v/>
      </c>
      <c r="E116" s="14"/>
      <c r="F116" s="14"/>
      <c r="G116" s="10"/>
    </row>
    <row r="117" spans="2:7" x14ac:dyDescent="0.25">
      <c r="B117" s="15"/>
      <c r="C117" s="16" t="str">
        <f t="shared" si="3"/>
        <v/>
      </c>
      <c r="D117" s="16" t="str">
        <f t="shared" si="2"/>
        <v/>
      </c>
      <c r="E117" s="14"/>
      <c r="F117" s="14"/>
      <c r="G117" s="10"/>
    </row>
    <row r="118" spans="2:7" x14ac:dyDescent="0.25">
      <c r="B118" s="15"/>
      <c r="C118" s="16" t="str">
        <f t="shared" si="3"/>
        <v/>
      </c>
      <c r="D118" s="16" t="str">
        <f t="shared" si="2"/>
        <v/>
      </c>
      <c r="E118" s="14"/>
      <c r="F118" s="14"/>
      <c r="G118" s="10"/>
    </row>
    <row r="119" spans="2:7" x14ac:dyDescent="0.25">
      <c r="B119" s="15"/>
      <c r="C119" s="16" t="str">
        <f t="shared" si="3"/>
        <v/>
      </c>
      <c r="D119" s="16" t="str">
        <f t="shared" si="2"/>
        <v/>
      </c>
      <c r="E119" s="14"/>
      <c r="F119" s="14"/>
      <c r="G119" s="10"/>
    </row>
    <row r="120" spans="2:7" x14ac:dyDescent="0.25">
      <c r="B120" s="15"/>
      <c r="C120" s="16" t="str">
        <f t="shared" si="3"/>
        <v/>
      </c>
      <c r="D120" s="16" t="str">
        <f t="shared" si="2"/>
        <v/>
      </c>
      <c r="E120" s="14"/>
      <c r="F120" s="14"/>
      <c r="G120" s="10"/>
    </row>
    <row r="121" spans="2:7" x14ac:dyDescent="0.25">
      <c r="B121" s="15"/>
      <c r="C121" s="16" t="str">
        <f t="shared" si="3"/>
        <v/>
      </c>
      <c r="D121" s="16" t="str">
        <f t="shared" si="2"/>
        <v/>
      </c>
      <c r="E121" s="14"/>
      <c r="F121" s="14"/>
      <c r="G121" s="10"/>
    </row>
    <row r="122" spans="2:7" x14ac:dyDescent="0.25">
      <c r="B122" s="15"/>
      <c r="C122" s="16" t="str">
        <f t="shared" si="3"/>
        <v/>
      </c>
      <c r="D122" s="16" t="str">
        <f t="shared" si="2"/>
        <v/>
      </c>
      <c r="E122" s="14"/>
      <c r="F122" s="14"/>
      <c r="G122" s="10"/>
    </row>
    <row r="123" spans="2:7" x14ac:dyDescent="0.25">
      <c r="B123" s="15"/>
      <c r="C123" s="16" t="str">
        <f t="shared" si="3"/>
        <v/>
      </c>
      <c r="D123" s="16" t="str">
        <f t="shared" si="2"/>
        <v/>
      </c>
      <c r="E123" s="14"/>
      <c r="F123" s="14"/>
      <c r="G123" s="10"/>
    </row>
    <row r="124" spans="2:7" x14ac:dyDescent="0.25">
      <c r="B124" s="15"/>
      <c r="C124" s="16" t="str">
        <f t="shared" si="3"/>
        <v/>
      </c>
      <c r="D124" s="16" t="str">
        <f t="shared" si="2"/>
        <v/>
      </c>
      <c r="E124" s="14"/>
      <c r="F124" s="14"/>
      <c r="G124" s="10"/>
    </row>
    <row r="125" spans="2:7" x14ac:dyDescent="0.25">
      <c r="B125" s="15"/>
      <c r="C125" s="16" t="str">
        <f t="shared" si="3"/>
        <v/>
      </c>
      <c r="D125" s="16" t="str">
        <f t="shared" si="2"/>
        <v/>
      </c>
      <c r="E125" s="14"/>
      <c r="F125" s="14"/>
      <c r="G125" s="10"/>
    </row>
    <row r="126" spans="2:7" x14ac:dyDescent="0.25">
      <c r="B126" s="15"/>
      <c r="C126" s="16" t="str">
        <f t="shared" si="3"/>
        <v/>
      </c>
      <c r="D126" s="16" t="str">
        <f t="shared" si="2"/>
        <v/>
      </c>
      <c r="E126" s="14"/>
      <c r="F126" s="14"/>
      <c r="G126" s="10"/>
    </row>
    <row r="127" spans="2:7" x14ac:dyDescent="0.25">
      <c r="B127" s="15"/>
      <c r="C127" s="16" t="str">
        <f t="shared" si="3"/>
        <v/>
      </c>
      <c r="D127" s="16" t="str">
        <f t="shared" si="2"/>
        <v/>
      </c>
      <c r="E127" s="14"/>
      <c r="F127" s="14"/>
      <c r="G127" s="10"/>
    </row>
    <row r="128" spans="2:7" x14ac:dyDescent="0.25">
      <c r="B128" s="15"/>
      <c r="C128" s="16" t="str">
        <f t="shared" si="3"/>
        <v/>
      </c>
      <c r="D128" s="16" t="str">
        <f t="shared" si="2"/>
        <v/>
      </c>
      <c r="E128" s="14"/>
      <c r="F128" s="14"/>
      <c r="G128" s="10"/>
    </row>
    <row r="129" spans="2:7" x14ac:dyDescent="0.25">
      <c r="B129" s="15"/>
      <c r="C129" s="16" t="str">
        <f t="shared" ref="C129:C192" si="4">IF(B129="","",INT((B129-DATE(YEAR(B129),1,1))/14)+1)</f>
        <v/>
      </c>
      <c r="D129" s="16" t="str">
        <f t="shared" ref="D129:D192" si="5">IF(B129="","",TEXT(B129,"mmm"))</f>
        <v/>
      </c>
      <c r="E129" s="14"/>
      <c r="F129" s="14"/>
      <c r="G129" s="10"/>
    </row>
    <row r="130" spans="2:7" x14ac:dyDescent="0.25">
      <c r="B130" s="15"/>
      <c r="C130" s="16" t="str">
        <f t="shared" si="4"/>
        <v/>
      </c>
      <c r="D130" s="16" t="str">
        <f t="shared" si="5"/>
        <v/>
      </c>
      <c r="E130" s="14"/>
      <c r="F130" s="14"/>
      <c r="G130" s="10"/>
    </row>
    <row r="131" spans="2:7" x14ac:dyDescent="0.25">
      <c r="B131" s="15"/>
      <c r="C131" s="16" t="str">
        <f t="shared" si="4"/>
        <v/>
      </c>
      <c r="D131" s="16" t="str">
        <f t="shared" si="5"/>
        <v/>
      </c>
      <c r="E131" s="14"/>
      <c r="F131" s="14"/>
      <c r="G131" s="10"/>
    </row>
    <row r="132" spans="2:7" x14ac:dyDescent="0.25">
      <c r="B132" s="15"/>
      <c r="C132" s="16" t="str">
        <f t="shared" si="4"/>
        <v/>
      </c>
      <c r="D132" s="16" t="str">
        <f t="shared" si="5"/>
        <v/>
      </c>
      <c r="E132" s="14"/>
      <c r="F132" s="14"/>
      <c r="G132" s="10"/>
    </row>
    <row r="133" spans="2:7" x14ac:dyDescent="0.25">
      <c r="B133" s="15"/>
      <c r="C133" s="16" t="str">
        <f t="shared" si="4"/>
        <v/>
      </c>
      <c r="D133" s="16" t="str">
        <f t="shared" si="5"/>
        <v/>
      </c>
      <c r="E133" s="14"/>
      <c r="F133" s="14"/>
      <c r="G133" s="10"/>
    </row>
    <row r="134" spans="2:7" x14ac:dyDescent="0.25">
      <c r="B134" s="15"/>
      <c r="C134" s="16" t="str">
        <f t="shared" si="4"/>
        <v/>
      </c>
      <c r="D134" s="16" t="str">
        <f t="shared" si="5"/>
        <v/>
      </c>
      <c r="E134" s="14"/>
      <c r="F134" s="14"/>
      <c r="G134" s="10"/>
    </row>
    <row r="135" spans="2:7" x14ac:dyDescent="0.25">
      <c r="B135" s="15"/>
      <c r="C135" s="16" t="str">
        <f t="shared" si="4"/>
        <v/>
      </c>
      <c r="D135" s="16" t="str">
        <f t="shared" si="5"/>
        <v/>
      </c>
      <c r="E135" s="14"/>
      <c r="F135" s="14"/>
      <c r="G135" s="10"/>
    </row>
    <row r="136" spans="2:7" x14ac:dyDescent="0.25">
      <c r="B136" s="15"/>
      <c r="C136" s="16" t="str">
        <f t="shared" si="4"/>
        <v/>
      </c>
      <c r="D136" s="16" t="str">
        <f t="shared" si="5"/>
        <v/>
      </c>
      <c r="E136" s="14"/>
      <c r="F136" s="14"/>
      <c r="G136" s="10"/>
    </row>
    <row r="137" spans="2:7" x14ac:dyDescent="0.25">
      <c r="B137" s="15"/>
      <c r="C137" s="16" t="str">
        <f t="shared" si="4"/>
        <v/>
      </c>
      <c r="D137" s="16" t="str">
        <f t="shared" si="5"/>
        <v/>
      </c>
      <c r="E137" s="14"/>
      <c r="F137" s="14"/>
      <c r="G137" s="10"/>
    </row>
    <row r="138" spans="2:7" x14ac:dyDescent="0.25">
      <c r="B138" s="15"/>
      <c r="C138" s="16" t="str">
        <f t="shared" si="4"/>
        <v/>
      </c>
      <c r="D138" s="16" t="str">
        <f t="shared" si="5"/>
        <v/>
      </c>
      <c r="E138" s="14"/>
      <c r="F138" s="14"/>
      <c r="G138" s="10"/>
    </row>
    <row r="139" spans="2:7" x14ac:dyDescent="0.25">
      <c r="B139" s="15"/>
      <c r="C139" s="16" t="str">
        <f t="shared" si="4"/>
        <v/>
      </c>
      <c r="D139" s="16" t="str">
        <f t="shared" si="5"/>
        <v/>
      </c>
      <c r="E139" s="14"/>
      <c r="F139" s="14"/>
      <c r="G139" s="10"/>
    </row>
    <row r="140" spans="2:7" x14ac:dyDescent="0.25">
      <c r="B140" s="15"/>
      <c r="C140" s="16" t="str">
        <f t="shared" si="4"/>
        <v/>
      </c>
      <c r="D140" s="16" t="str">
        <f t="shared" si="5"/>
        <v/>
      </c>
      <c r="E140" s="14"/>
      <c r="F140" s="14"/>
      <c r="G140" s="10"/>
    </row>
    <row r="141" spans="2:7" x14ac:dyDescent="0.25">
      <c r="B141" s="15"/>
      <c r="C141" s="16" t="str">
        <f t="shared" si="4"/>
        <v/>
      </c>
      <c r="D141" s="16" t="str">
        <f t="shared" si="5"/>
        <v/>
      </c>
      <c r="E141" s="14"/>
      <c r="F141" s="14"/>
      <c r="G141" s="10"/>
    </row>
    <row r="142" spans="2:7" x14ac:dyDescent="0.25">
      <c r="B142" s="15"/>
      <c r="C142" s="16" t="str">
        <f t="shared" si="4"/>
        <v/>
      </c>
      <c r="D142" s="16" t="str">
        <f t="shared" si="5"/>
        <v/>
      </c>
      <c r="E142" s="14"/>
      <c r="F142" s="14"/>
      <c r="G142" s="10"/>
    </row>
    <row r="143" spans="2:7" x14ac:dyDescent="0.25">
      <c r="B143" s="15"/>
      <c r="C143" s="16" t="str">
        <f t="shared" si="4"/>
        <v/>
      </c>
      <c r="D143" s="16" t="str">
        <f t="shared" si="5"/>
        <v/>
      </c>
      <c r="E143" s="14"/>
      <c r="F143" s="14"/>
      <c r="G143" s="10"/>
    </row>
    <row r="144" spans="2:7" x14ac:dyDescent="0.25">
      <c r="B144" s="15"/>
      <c r="C144" s="16" t="str">
        <f t="shared" si="4"/>
        <v/>
      </c>
      <c r="D144" s="16" t="str">
        <f t="shared" si="5"/>
        <v/>
      </c>
      <c r="E144" s="14"/>
      <c r="F144" s="14"/>
      <c r="G144" s="10"/>
    </row>
    <row r="145" spans="2:7" x14ac:dyDescent="0.25">
      <c r="B145" s="15"/>
      <c r="C145" s="16" t="str">
        <f t="shared" si="4"/>
        <v/>
      </c>
      <c r="D145" s="16" t="str">
        <f t="shared" si="5"/>
        <v/>
      </c>
      <c r="E145" s="14"/>
      <c r="F145" s="14"/>
      <c r="G145" s="10"/>
    </row>
    <row r="146" spans="2:7" x14ac:dyDescent="0.25">
      <c r="B146" s="15"/>
      <c r="C146" s="16" t="str">
        <f t="shared" si="4"/>
        <v/>
      </c>
      <c r="D146" s="16" t="str">
        <f t="shared" si="5"/>
        <v/>
      </c>
      <c r="E146" s="14"/>
      <c r="F146" s="14"/>
      <c r="G146" s="10"/>
    </row>
    <row r="147" spans="2:7" x14ac:dyDescent="0.25">
      <c r="B147" s="15"/>
      <c r="C147" s="16" t="str">
        <f t="shared" si="4"/>
        <v/>
      </c>
      <c r="D147" s="16" t="str">
        <f t="shared" si="5"/>
        <v/>
      </c>
      <c r="E147" s="14"/>
      <c r="F147" s="14"/>
      <c r="G147" s="10"/>
    </row>
    <row r="148" spans="2:7" x14ac:dyDescent="0.25">
      <c r="B148" s="15"/>
      <c r="C148" s="16" t="str">
        <f t="shared" si="4"/>
        <v/>
      </c>
      <c r="D148" s="16" t="str">
        <f t="shared" si="5"/>
        <v/>
      </c>
      <c r="E148" s="14"/>
      <c r="F148" s="14"/>
      <c r="G148" s="10"/>
    </row>
    <row r="149" spans="2:7" x14ac:dyDescent="0.25">
      <c r="B149" s="15"/>
      <c r="C149" s="16" t="str">
        <f t="shared" si="4"/>
        <v/>
      </c>
      <c r="D149" s="16" t="str">
        <f t="shared" si="5"/>
        <v/>
      </c>
      <c r="E149" s="14"/>
      <c r="F149" s="14"/>
      <c r="G149" s="10"/>
    </row>
    <row r="150" spans="2:7" x14ac:dyDescent="0.25">
      <c r="B150" s="15"/>
      <c r="C150" s="16" t="str">
        <f t="shared" si="4"/>
        <v/>
      </c>
      <c r="D150" s="16" t="str">
        <f t="shared" si="5"/>
        <v/>
      </c>
      <c r="E150" s="14"/>
      <c r="F150" s="14"/>
      <c r="G150" s="10"/>
    </row>
    <row r="151" spans="2:7" x14ac:dyDescent="0.25">
      <c r="B151" s="15"/>
      <c r="C151" s="16" t="str">
        <f t="shared" si="4"/>
        <v/>
      </c>
      <c r="D151" s="16" t="str">
        <f t="shared" si="5"/>
        <v/>
      </c>
      <c r="E151" s="14"/>
      <c r="F151" s="14"/>
      <c r="G151" s="10"/>
    </row>
    <row r="152" spans="2:7" x14ac:dyDescent="0.25">
      <c r="B152" s="15"/>
      <c r="C152" s="16" t="str">
        <f t="shared" si="4"/>
        <v/>
      </c>
      <c r="D152" s="16" t="str">
        <f t="shared" si="5"/>
        <v/>
      </c>
      <c r="E152" s="14"/>
      <c r="F152" s="14"/>
      <c r="G152" s="10"/>
    </row>
    <row r="153" spans="2:7" x14ac:dyDescent="0.25">
      <c r="B153" s="15"/>
      <c r="C153" s="16" t="str">
        <f t="shared" si="4"/>
        <v/>
      </c>
      <c r="D153" s="16" t="str">
        <f t="shared" si="5"/>
        <v/>
      </c>
      <c r="E153" s="14"/>
      <c r="F153" s="14"/>
      <c r="G153" s="10"/>
    </row>
    <row r="154" spans="2:7" x14ac:dyDescent="0.25">
      <c r="B154" s="15"/>
      <c r="C154" s="16" t="str">
        <f t="shared" si="4"/>
        <v/>
      </c>
      <c r="D154" s="16" t="str">
        <f t="shared" si="5"/>
        <v/>
      </c>
      <c r="E154" s="14"/>
      <c r="F154" s="14"/>
      <c r="G154" s="10"/>
    </row>
    <row r="155" spans="2:7" x14ac:dyDescent="0.25">
      <c r="B155" s="15"/>
      <c r="C155" s="16" t="str">
        <f t="shared" si="4"/>
        <v/>
      </c>
      <c r="D155" s="16" t="str">
        <f t="shared" si="5"/>
        <v/>
      </c>
      <c r="E155" s="14"/>
      <c r="F155" s="14"/>
      <c r="G155" s="10"/>
    </row>
    <row r="156" spans="2:7" x14ac:dyDescent="0.25">
      <c r="B156" s="15"/>
      <c r="C156" s="16" t="str">
        <f t="shared" si="4"/>
        <v/>
      </c>
      <c r="D156" s="16" t="str">
        <f t="shared" si="5"/>
        <v/>
      </c>
      <c r="E156" s="14"/>
      <c r="F156" s="14"/>
      <c r="G156" s="10"/>
    </row>
    <row r="157" spans="2:7" x14ac:dyDescent="0.25">
      <c r="B157" s="15"/>
      <c r="C157" s="16" t="str">
        <f t="shared" si="4"/>
        <v/>
      </c>
      <c r="D157" s="16" t="str">
        <f t="shared" si="5"/>
        <v/>
      </c>
      <c r="E157" s="14"/>
      <c r="F157" s="14"/>
      <c r="G157" s="10"/>
    </row>
    <row r="158" spans="2:7" x14ac:dyDescent="0.25">
      <c r="B158" s="15"/>
      <c r="C158" s="16" t="str">
        <f t="shared" si="4"/>
        <v/>
      </c>
      <c r="D158" s="16" t="str">
        <f t="shared" si="5"/>
        <v/>
      </c>
      <c r="E158" s="14"/>
      <c r="F158" s="14"/>
      <c r="G158" s="10"/>
    </row>
    <row r="159" spans="2:7" x14ac:dyDescent="0.25">
      <c r="B159" s="15"/>
      <c r="C159" s="16" t="str">
        <f t="shared" si="4"/>
        <v/>
      </c>
      <c r="D159" s="16" t="str">
        <f t="shared" si="5"/>
        <v/>
      </c>
      <c r="E159" s="14"/>
      <c r="F159" s="14"/>
      <c r="G159" s="10"/>
    </row>
    <row r="160" spans="2:7" x14ac:dyDescent="0.25">
      <c r="B160" s="15"/>
      <c r="C160" s="16" t="str">
        <f t="shared" si="4"/>
        <v/>
      </c>
      <c r="D160" s="16" t="str">
        <f t="shared" si="5"/>
        <v/>
      </c>
      <c r="E160" s="14"/>
      <c r="F160" s="14"/>
      <c r="G160" s="10"/>
    </row>
    <row r="161" spans="2:7" x14ac:dyDescent="0.25">
      <c r="B161" s="15"/>
      <c r="C161" s="16" t="str">
        <f t="shared" si="4"/>
        <v/>
      </c>
      <c r="D161" s="16" t="str">
        <f t="shared" si="5"/>
        <v/>
      </c>
      <c r="E161" s="14"/>
      <c r="F161" s="14"/>
      <c r="G161" s="10"/>
    </row>
    <row r="162" spans="2:7" x14ac:dyDescent="0.25">
      <c r="B162" s="15"/>
      <c r="C162" s="16" t="str">
        <f t="shared" si="4"/>
        <v/>
      </c>
      <c r="D162" s="16" t="str">
        <f t="shared" si="5"/>
        <v/>
      </c>
      <c r="E162" s="14"/>
      <c r="F162" s="14"/>
      <c r="G162" s="10"/>
    </row>
    <row r="163" spans="2:7" x14ac:dyDescent="0.25">
      <c r="B163" s="15"/>
      <c r="C163" s="16" t="str">
        <f t="shared" si="4"/>
        <v/>
      </c>
      <c r="D163" s="16" t="str">
        <f t="shared" si="5"/>
        <v/>
      </c>
      <c r="E163" s="14"/>
      <c r="F163" s="14"/>
      <c r="G163" s="10"/>
    </row>
    <row r="164" spans="2:7" x14ac:dyDescent="0.25">
      <c r="B164" s="15"/>
      <c r="C164" s="16" t="str">
        <f t="shared" si="4"/>
        <v/>
      </c>
      <c r="D164" s="16" t="str">
        <f t="shared" si="5"/>
        <v/>
      </c>
      <c r="E164" s="14"/>
      <c r="F164" s="14"/>
      <c r="G164" s="10"/>
    </row>
    <row r="165" spans="2:7" x14ac:dyDescent="0.25">
      <c r="B165" s="15"/>
      <c r="C165" s="16" t="str">
        <f t="shared" si="4"/>
        <v/>
      </c>
      <c r="D165" s="16" t="str">
        <f t="shared" si="5"/>
        <v/>
      </c>
      <c r="E165" s="14"/>
      <c r="F165" s="14"/>
      <c r="G165" s="10"/>
    </row>
    <row r="166" spans="2:7" x14ac:dyDescent="0.25">
      <c r="B166" s="15"/>
      <c r="C166" s="16" t="str">
        <f t="shared" si="4"/>
        <v/>
      </c>
      <c r="D166" s="16" t="str">
        <f t="shared" si="5"/>
        <v/>
      </c>
      <c r="E166" s="14"/>
      <c r="F166" s="14"/>
      <c r="G166" s="10"/>
    </row>
    <row r="167" spans="2:7" x14ac:dyDescent="0.25">
      <c r="B167" s="15"/>
      <c r="C167" s="16" t="str">
        <f t="shared" si="4"/>
        <v/>
      </c>
      <c r="D167" s="16" t="str">
        <f t="shared" si="5"/>
        <v/>
      </c>
      <c r="E167" s="14"/>
      <c r="F167" s="14"/>
      <c r="G167" s="10"/>
    </row>
    <row r="168" spans="2:7" x14ac:dyDescent="0.25">
      <c r="B168" s="15"/>
      <c r="C168" s="16" t="str">
        <f t="shared" si="4"/>
        <v/>
      </c>
      <c r="D168" s="16" t="str">
        <f t="shared" si="5"/>
        <v/>
      </c>
      <c r="E168" s="14"/>
      <c r="F168" s="14"/>
      <c r="G168" s="10"/>
    </row>
    <row r="169" spans="2:7" x14ac:dyDescent="0.25">
      <c r="B169" s="15"/>
      <c r="C169" s="16" t="str">
        <f t="shared" si="4"/>
        <v/>
      </c>
      <c r="D169" s="16" t="str">
        <f t="shared" si="5"/>
        <v/>
      </c>
      <c r="E169" s="14"/>
      <c r="F169" s="14"/>
      <c r="G169" s="10"/>
    </row>
    <row r="170" spans="2:7" x14ac:dyDescent="0.25">
      <c r="B170" s="15"/>
      <c r="C170" s="16" t="str">
        <f t="shared" si="4"/>
        <v/>
      </c>
      <c r="D170" s="16" t="str">
        <f t="shared" si="5"/>
        <v/>
      </c>
      <c r="E170" s="14"/>
      <c r="F170" s="14"/>
      <c r="G170" s="10"/>
    </row>
    <row r="171" spans="2:7" x14ac:dyDescent="0.25">
      <c r="B171" s="15"/>
      <c r="C171" s="16" t="str">
        <f t="shared" si="4"/>
        <v/>
      </c>
      <c r="D171" s="16" t="str">
        <f t="shared" si="5"/>
        <v/>
      </c>
      <c r="E171" s="14"/>
      <c r="F171" s="14"/>
      <c r="G171" s="10"/>
    </row>
    <row r="172" spans="2:7" x14ac:dyDescent="0.25">
      <c r="B172" s="15"/>
      <c r="C172" s="16" t="str">
        <f t="shared" si="4"/>
        <v/>
      </c>
      <c r="D172" s="16" t="str">
        <f t="shared" si="5"/>
        <v/>
      </c>
      <c r="E172" s="14"/>
      <c r="F172" s="14"/>
      <c r="G172" s="10"/>
    </row>
    <row r="173" spans="2:7" x14ac:dyDescent="0.25">
      <c r="B173" s="15"/>
      <c r="C173" s="16" t="str">
        <f t="shared" si="4"/>
        <v/>
      </c>
      <c r="D173" s="16" t="str">
        <f t="shared" si="5"/>
        <v/>
      </c>
      <c r="E173" s="14"/>
      <c r="F173" s="14"/>
      <c r="G173" s="10"/>
    </row>
    <row r="174" spans="2:7" x14ac:dyDescent="0.25">
      <c r="B174" s="15"/>
      <c r="C174" s="16" t="str">
        <f t="shared" si="4"/>
        <v/>
      </c>
      <c r="D174" s="16" t="str">
        <f t="shared" si="5"/>
        <v/>
      </c>
      <c r="E174" s="14"/>
      <c r="F174" s="14"/>
      <c r="G174" s="10"/>
    </row>
    <row r="175" spans="2:7" x14ac:dyDescent="0.25">
      <c r="B175" s="15"/>
      <c r="C175" s="16" t="str">
        <f t="shared" si="4"/>
        <v/>
      </c>
      <c r="D175" s="16" t="str">
        <f t="shared" si="5"/>
        <v/>
      </c>
      <c r="E175" s="14"/>
      <c r="F175" s="14"/>
      <c r="G175" s="10"/>
    </row>
    <row r="176" spans="2:7" x14ac:dyDescent="0.25">
      <c r="B176" s="15"/>
      <c r="C176" s="16" t="str">
        <f t="shared" si="4"/>
        <v/>
      </c>
      <c r="D176" s="16" t="str">
        <f t="shared" si="5"/>
        <v/>
      </c>
      <c r="E176" s="14"/>
      <c r="F176" s="14"/>
      <c r="G176" s="10"/>
    </row>
    <row r="177" spans="2:7" x14ac:dyDescent="0.25">
      <c r="B177" s="15"/>
      <c r="C177" s="16" t="str">
        <f t="shared" si="4"/>
        <v/>
      </c>
      <c r="D177" s="16" t="str">
        <f t="shared" si="5"/>
        <v/>
      </c>
      <c r="E177" s="14"/>
      <c r="F177" s="14"/>
      <c r="G177" s="10"/>
    </row>
    <row r="178" spans="2:7" x14ac:dyDescent="0.25">
      <c r="B178" s="15"/>
      <c r="C178" s="16" t="str">
        <f t="shared" si="4"/>
        <v/>
      </c>
      <c r="D178" s="16" t="str">
        <f t="shared" si="5"/>
        <v/>
      </c>
      <c r="E178" s="14"/>
      <c r="F178" s="14"/>
      <c r="G178" s="10"/>
    </row>
    <row r="179" spans="2:7" x14ac:dyDescent="0.25">
      <c r="B179" s="15"/>
      <c r="C179" s="16" t="str">
        <f t="shared" si="4"/>
        <v/>
      </c>
      <c r="D179" s="16" t="str">
        <f t="shared" si="5"/>
        <v/>
      </c>
      <c r="E179" s="14"/>
      <c r="F179" s="14"/>
      <c r="G179" s="10"/>
    </row>
    <row r="180" spans="2:7" x14ac:dyDescent="0.25">
      <c r="B180" s="15"/>
      <c r="C180" s="16" t="str">
        <f t="shared" si="4"/>
        <v/>
      </c>
      <c r="D180" s="16" t="str">
        <f t="shared" si="5"/>
        <v/>
      </c>
      <c r="E180" s="14"/>
      <c r="F180" s="14"/>
      <c r="G180" s="10"/>
    </row>
    <row r="181" spans="2:7" x14ac:dyDescent="0.25">
      <c r="B181" s="15"/>
      <c r="C181" s="16" t="str">
        <f t="shared" si="4"/>
        <v/>
      </c>
      <c r="D181" s="16" t="str">
        <f t="shared" si="5"/>
        <v/>
      </c>
      <c r="E181" s="14"/>
      <c r="F181" s="14"/>
      <c r="G181" s="10"/>
    </row>
    <row r="182" spans="2:7" x14ac:dyDescent="0.25">
      <c r="B182" s="15"/>
      <c r="C182" s="16" t="str">
        <f t="shared" si="4"/>
        <v/>
      </c>
      <c r="D182" s="16" t="str">
        <f t="shared" si="5"/>
        <v/>
      </c>
      <c r="E182" s="14"/>
      <c r="F182" s="14"/>
      <c r="G182" s="10"/>
    </row>
    <row r="183" spans="2:7" x14ac:dyDescent="0.25">
      <c r="B183" s="15"/>
      <c r="C183" s="16" t="str">
        <f t="shared" si="4"/>
        <v/>
      </c>
      <c r="D183" s="16" t="str">
        <f t="shared" si="5"/>
        <v/>
      </c>
      <c r="E183" s="14"/>
      <c r="F183" s="14"/>
      <c r="G183" s="10"/>
    </row>
    <row r="184" spans="2:7" x14ac:dyDescent="0.25">
      <c r="B184" s="15"/>
      <c r="C184" s="16" t="str">
        <f t="shared" si="4"/>
        <v/>
      </c>
      <c r="D184" s="16" t="str">
        <f t="shared" si="5"/>
        <v/>
      </c>
      <c r="E184" s="14"/>
      <c r="F184" s="14"/>
      <c r="G184" s="10"/>
    </row>
    <row r="185" spans="2:7" x14ac:dyDescent="0.25">
      <c r="B185" s="15"/>
      <c r="C185" s="16" t="str">
        <f t="shared" si="4"/>
        <v/>
      </c>
      <c r="D185" s="16" t="str">
        <f t="shared" si="5"/>
        <v/>
      </c>
      <c r="E185" s="14"/>
      <c r="F185" s="14"/>
      <c r="G185" s="10"/>
    </row>
    <row r="186" spans="2:7" x14ac:dyDescent="0.25">
      <c r="B186" s="15"/>
      <c r="C186" s="16" t="str">
        <f t="shared" si="4"/>
        <v/>
      </c>
      <c r="D186" s="16" t="str">
        <f t="shared" si="5"/>
        <v/>
      </c>
      <c r="E186" s="14"/>
      <c r="F186" s="14"/>
      <c r="G186" s="10"/>
    </row>
    <row r="187" spans="2:7" x14ac:dyDescent="0.25">
      <c r="B187" s="15"/>
      <c r="C187" s="16" t="str">
        <f t="shared" si="4"/>
        <v/>
      </c>
      <c r="D187" s="16" t="str">
        <f t="shared" si="5"/>
        <v/>
      </c>
      <c r="E187" s="14"/>
      <c r="F187" s="14"/>
      <c r="G187" s="10"/>
    </row>
    <row r="188" spans="2:7" x14ac:dyDescent="0.25">
      <c r="B188" s="15"/>
      <c r="C188" s="16" t="str">
        <f t="shared" si="4"/>
        <v/>
      </c>
      <c r="D188" s="16" t="str">
        <f t="shared" si="5"/>
        <v/>
      </c>
      <c r="E188" s="14"/>
      <c r="F188" s="14"/>
      <c r="G188" s="10"/>
    </row>
    <row r="189" spans="2:7" x14ac:dyDescent="0.25">
      <c r="B189" s="15"/>
      <c r="C189" s="16" t="str">
        <f t="shared" si="4"/>
        <v/>
      </c>
      <c r="D189" s="16" t="str">
        <f t="shared" si="5"/>
        <v/>
      </c>
      <c r="E189" s="14"/>
      <c r="F189" s="14"/>
      <c r="G189" s="10"/>
    </row>
    <row r="190" spans="2:7" x14ac:dyDescent="0.25">
      <c r="B190" s="15"/>
      <c r="C190" s="16" t="str">
        <f t="shared" si="4"/>
        <v/>
      </c>
      <c r="D190" s="16" t="str">
        <f t="shared" si="5"/>
        <v/>
      </c>
      <c r="E190" s="14"/>
      <c r="F190" s="14"/>
      <c r="G190" s="10"/>
    </row>
    <row r="191" spans="2:7" x14ac:dyDescent="0.25">
      <c r="B191" s="15"/>
      <c r="C191" s="16" t="str">
        <f t="shared" si="4"/>
        <v/>
      </c>
      <c r="D191" s="16" t="str">
        <f t="shared" si="5"/>
        <v/>
      </c>
      <c r="E191" s="14"/>
      <c r="F191" s="14"/>
      <c r="G191" s="10"/>
    </row>
    <row r="192" spans="2:7" x14ac:dyDescent="0.25">
      <c r="B192" s="15"/>
      <c r="C192" s="16" t="str">
        <f t="shared" si="4"/>
        <v/>
      </c>
      <c r="D192" s="16" t="str">
        <f t="shared" si="5"/>
        <v/>
      </c>
      <c r="E192" s="14"/>
      <c r="F192" s="14"/>
      <c r="G192" s="10"/>
    </row>
    <row r="193" spans="2:7" x14ac:dyDescent="0.25">
      <c r="B193" s="15"/>
      <c r="C193" s="16" t="str">
        <f t="shared" ref="C193:C256" si="6">IF(B193="","",INT((B193-DATE(YEAR(B193),1,1))/14)+1)</f>
        <v/>
      </c>
      <c r="D193" s="16" t="str">
        <f t="shared" ref="D193:D256" si="7">IF(B193="","",TEXT(B193,"mmm"))</f>
        <v/>
      </c>
      <c r="E193" s="14"/>
      <c r="F193" s="14"/>
      <c r="G193" s="10"/>
    </row>
    <row r="194" spans="2:7" x14ac:dyDescent="0.25">
      <c r="B194" s="15"/>
      <c r="C194" s="16" t="str">
        <f t="shared" si="6"/>
        <v/>
      </c>
      <c r="D194" s="16" t="str">
        <f t="shared" si="7"/>
        <v/>
      </c>
      <c r="E194" s="14"/>
      <c r="F194" s="14"/>
      <c r="G194" s="10"/>
    </row>
    <row r="195" spans="2:7" x14ac:dyDescent="0.25">
      <c r="B195" s="15"/>
      <c r="C195" s="16" t="str">
        <f t="shared" si="6"/>
        <v/>
      </c>
      <c r="D195" s="16" t="str">
        <f t="shared" si="7"/>
        <v/>
      </c>
      <c r="E195" s="14"/>
      <c r="F195" s="14"/>
      <c r="G195" s="10"/>
    </row>
    <row r="196" spans="2:7" x14ac:dyDescent="0.25">
      <c r="B196" s="15"/>
      <c r="C196" s="16" t="str">
        <f t="shared" si="6"/>
        <v/>
      </c>
      <c r="D196" s="16" t="str">
        <f t="shared" si="7"/>
        <v/>
      </c>
      <c r="E196" s="14"/>
      <c r="F196" s="14"/>
      <c r="G196" s="10"/>
    </row>
    <row r="197" spans="2:7" x14ac:dyDescent="0.25">
      <c r="B197" s="15"/>
      <c r="C197" s="16" t="str">
        <f t="shared" si="6"/>
        <v/>
      </c>
      <c r="D197" s="16" t="str">
        <f t="shared" si="7"/>
        <v/>
      </c>
      <c r="E197" s="14"/>
      <c r="F197" s="14"/>
      <c r="G197" s="10"/>
    </row>
    <row r="198" spans="2:7" x14ac:dyDescent="0.25">
      <c r="B198" s="15"/>
      <c r="C198" s="16" t="str">
        <f t="shared" si="6"/>
        <v/>
      </c>
      <c r="D198" s="16" t="str">
        <f t="shared" si="7"/>
        <v/>
      </c>
      <c r="E198" s="14"/>
      <c r="F198" s="14"/>
      <c r="G198" s="10"/>
    </row>
    <row r="199" spans="2:7" x14ac:dyDescent="0.25">
      <c r="B199" s="15"/>
      <c r="C199" s="16" t="str">
        <f t="shared" si="6"/>
        <v/>
      </c>
      <c r="D199" s="16" t="str">
        <f t="shared" si="7"/>
        <v/>
      </c>
      <c r="E199" s="14"/>
      <c r="F199" s="14"/>
      <c r="G199" s="10"/>
    </row>
    <row r="200" spans="2:7" x14ac:dyDescent="0.25">
      <c r="B200" s="15"/>
      <c r="C200" s="16" t="str">
        <f t="shared" si="6"/>
        <v/>
      </c>
      <c r="D200" s="16" t="str">
        <f t="shared" si="7"/>
        <v/>
      </c>
      <c r="E200" s="14"/>
      <c r="F200" s="14"/>
      <c r="G200" s="10"/>
    </row>
    <row r="201" spans="2:7" x14ac:dyDescent="0.25">
      <c r="B201" s="15"/>
      <c r="C201" s="16" t="str">
        <f t="shared" si="6"/>
        <v/>
      </c>
      <c r="D201" s="16" t="str">
        <f t="shared" si="7"/>
        <v/>
      </c>
      <c r="E201" s="14"/>
      <c r="F201" s="14"/>
      <c r="G201" s="10"/>
    </row>
    <row r="202" spans="2:7" x14ac:dyDescent="0.25">
      <c r="B202" s="15"/>
      <c r="C202" s="16" t="str">
        <f t="shared" si="6"/>
        <v/>
      </c>
      <c r="D202" s="16" t="str">
        <f t="shared" si="7"/>
        <v/>
      </c>
      <c r="E202" s="14"/>
      <c r="F202" s="14"/>
      <c r="G202" s="10"/>
    </row>
    <row r="203" spans="2:7" x14ac:dyDescent="0.25">
      <c r="B203" s="15"/>
      <c r="C203" s="16" t="str">
        <f t="shared" si="6"/>
        <v/>
      </c>
      <c r="D203" s="16" t="str">
        <f t="shared" si="7"/>
        <v/>
      </c>
      <c r="E203" s="14"/>
      <c r="F203" s="14"/>
      <c r="G203" s="10"/>
    </row>
    <row r="204" spans="2:7" x14ac:dyDescent="0.25">
      <c r="B204" s="15"/>
      <c r="C204" s="16" t="str">
        <f t="shared" si="6"/>
        <v/>
      </c>
      <c r="D204" s="16" t="str">
        <f t="shared" si="7"/>
        <v/>
      </c>
      <c r="E204" s="14"/>
      <c r="F204" s="14"/>
      <c r="G204" s="10"/>
    </row>
    <row r="205" spans="2:7" x14ac:dyDescent="0.25">
      <c r="B205" s="15"/>
      <c r="C205" s="16" t="str">
        <f t="shared" si="6"/>
        <v/>
      </c>
      <c r="D205" s="16" t="str">
        <f t="shared" si="7"/>
        <v/>
      </c>
      <c r="E205" s="14"/>
      <c r="F205" s="14"/>
      <c r="G205" s="10"/>
    </row>
    <row r="206" spans="2:7" x14ac:dyDescent="0.25">
      <c r="B206" s="15"/>
      <c r="C206" s="16" t="str">
        <f t="shared" si="6"/>
        <v/>
      </c>
      <c r="D206" s="16" t="str">
        <f t="shared" si="7"/>
        <v/>
      </c>
      <c r="E206" s="14"/>
      <c r="F206" s="14"/>
      <c r="G206" s="10"/>
    </row>
    <row r="207" spans="2:7" x14ac:dyDescent="0.25">
      <c r="B207" s="15"/>
      <c r="C207" s="16" t="str">
        <f t="shared" si="6"/>
        <v/>
      </c>
      <c r="D207" s="16" t="str">
        <f t="shared" si="7"/>
        <v/>
      </c>
      <c r="E207" s="14"/>
      <c r="F207" s="14"/>
      <c r="G207" s="10"/>
    </row>
    <row r="208" spans="2:7" x14ac:dyDescent="0.25">
      <c r="B208" s="15"/>
      <c r="C208" s="16" t="str">
        <f t="shared" si="6"/>
        <v/>
      </c>
      <c r="D208" s="16" t="str">
        <f t="shared" si="7"/>
        <v/>
      </c>
      <c r="E208" s="14"/>
      <c r="F208" s="14"/>
      <c r="G208" s="10"/>
    </row>
    <row r="209" spans="2:7" x14ac:dyDescent="0.25">
      <c r="B209" s="15"/>
      <c r="C209" s="16" t="str">
        <f t="shared" si="6"/>
        <v/>
      </c>
      <c r="D209" s="16" t="str">
        <f t="shared" si="7"/>
        <v/>
      </c>
      <c r="E209" s="14"/>
      <c r="F209" s="14"/>
      <c r="G209" s="10"/>
    </row>
    <row r="210" spans="2:7" x14ac:dyDescent="0.25">
      <c r="B210" s="15"/>
      <c r="C210" s="16" t="str">
        <f t="shared" si="6"/>
        <v/>
      </c>
      <c r="D210" s="16" t="str">
        <f t="shared" si="7"/>
        <v/>
      </c>
      <c r="E210" s="14"/>
      <c r="F210" s="14"/>
      <c r="G210" s="10"/>
    </row>
    <row r="211" spans="2:7" x14ac:dyDescent="0.25">
      <c r="B211" s="15"/>
      <c r="C211" s="16" t="str">
        <f t="shared" si="6"/>
        <v/>
      </c>
      <c r="D211" s="16" t="str">
        <f t="shared" si="7"/>
        <v/>
      </c>
      <c r="E211" s="14"/>
      <c r="F211" s="14"/>
      <c r="G211" s="10"/>
    </row>
    <row r="212" spans="2:7" x14ac:dyDescent="0.25">
      <c r="B212" s="15"/>
      <c r="C212" s="16" t="str">
        <f t="shared" si="6"/>
        <v/>
      </c>
      <c r="D212" s="16" t="str">
        <f t="shared" si="7"/>
        <v/>
      </c>
      <c r="E212" s="14"/>
      <c r="F212" s="14"/>
      <c r="G212" s="10"/>
    </row>
    <row r="213" spans="2:7" x14ac:dyDescent="0.25">
      <c r="B213" s="15"/>
      <c r="C213" s="16" t="str">
        <f t="shared" si="6"/>
        <v/>
      </c>
      <c r="D213" s="16" t="str">
        <f t="shared" si="7"/>
        <v/>
      </c>
      <c r="E213" s="14"/>
      <c r="F213" s="14"/>
      <c r="G213" s="10"/>
    </row>
    <row r="214" spans="2:7" x14ac:dyDescent="0.25">
      <c r="B214" s="15"/>
      <c r="C214" s="16" t="str">
        <f t="shared" si="6"/>
        <v/>
      </c>
      <c r="D214" s="16" t="str">
        <f t="shared" si="7"/>
        <v/>
      </c>
      <c r="E214" s="14"/>
      <c r="F214" s="14"/>
      <c r="G214" s="10"/>
    </row>
    <row r="215" spans="2:7" x14ac:dyDescent="0.25">
      <c r="B215" s="15"/>
      <c r="C215" s="16" t="str">
        <f t="shared" si="6"/>
        <v/>
      </c>
      <c r="D215" s="16" t="str">
        <f t="shared" si="7"/>
        <v/>
      </c>
      <c r="E215" s="14"/>
      <c r="F215" s="14"/>
      <c r="G215" s="10"/>
    </row>
    <row r="216" spans="2:7" x14ac:dyDescent="0.25">
      <c r="B216" s="15"/>
      <c r="C216" s="16" t="str">
        <f t="shared" si="6"/>
        <v/>
      </c>
      <c r="D216" s="16" t="str">
        <f t="shared" si="7"/>
        <v/>
      </c>
      <c r="E216" s="14"/>
      <c r="F216" s="14"/>
      <c r="G216" s="10"/>
    </row>
    <row r="217" spans="2:7" x14ac:dyDescent="0.25">
      <c r="B217" s="15"/>
      <c r="C217" s="16" t="str">
        <f t="shared" si="6"/>
        <v/>
      </c>
      <c r="D217" s="16" t="str">
        <f t="shared" si="7"/>
        <v/>
      </c>
      <c r="E217" s="14"/>
      <c r="F217" s="14"/>
      <c r="G217" s="10"/>
    </row>
    <row r="218" spans="2:7" x14ac:dyDescent="0.25">
      <c r="B218" s="15"/>
      <c r="C218" s="16" t="str">
        <f t="shared" si="6"/>
        <v/>
      </c>
      <c r="D218" s="16" t="str">
        <f t="shared" si="7"/>
        <v/>
      </c>
      <c r="E218" s="14"/>
      <c r="F218" s="14"/>
      <c r="G218" s="10"/>
    </row>
    <row r="219" spans="2:7" x14ac:dyDescent="0.25">
      <c r="B219" s="15"/>
      <c r="C219" s="16" t="str">
        <f t="shared" si="6"/>
        <v/>
      </c>
      <c r="D219" s="16" t="str">
        <f t="shared" si="7"/>
        <v/>
      </c>
      <c r="E219" s="14"/>
      <c r="F219" s="14"/>
      <c r="G219" s="10"/>
    </row>
    <row r="220" spans="2:7" x14ac:dyDescent="0.25">
      <c r="B220" s="15"/>
      <c r="C220" s="16" t="str">
        <f t="shared" si="6"/>
        <v/>
      </c>
      <c r="D220" s="16" t="str">
        <f t="shared" si="7"/>
        <v/>
      </c>
      <c r="E220" s="14"/>
      <c r="F220" s="14"/>
      <c r="G220" s="10"/>
    </row>
    <row r="221" spans="2:7" x14ac:dyDescent="0.25">
      <c r="B221" s="15"/>
      <c r="C221" s="16" t="str">
        <f t="shared" si="6"/>
        <v/>
      </c>
      <c r="D221" s="16" t="str">
        <f t="shared" si="7"/>
        <v/>
      </c>
      <c r="E221" s="14"/>
      <c r="F221" s="14"/>
      <c r="G221" s="10"/>
    </row>
    <row r="222" spans="2:7" x14ac:dyDescent="0.25">
      <c r="B222" s="15"/>
      <c r="C222" s="16" t="str">
        <f t="shared" si="6"/>
        <v/>
      </c>
      <c r="D222" s="16" t="str">
        <f t="shared" si="7"/>
        <v/>
      </c>
      <c r="E222" s="14"/>
      <c r="F222" s="14"/>
      <c r="G222" s="10"/>
    </row>
    <row r="223" spans="2:7" x14ac:dyDescent="0.25">
      <c r="B223" s="15"/>
      <c r="C223" s="16" t="str">
        <f t="shared" si="6"/>
        <v/>
      </c>
      <c r="D223" s="16" t="str">
        <f t="shared" si="7"/>
        <v/>
      </c>
      <c r="E223" s="14"/>
      <c r="F223" s="14"/>
      <c r="G223" s="10"/>
    </row>
    <row r="224" spans="2:7" x14ac:dyDescent="0.25">
      <c r="B224" s="15"/>
      <c r="C224" s="16" t="str">
        <f t="shared" si="6"/>
        <v/>
      </c>
      <c r="D224" s="16" t="str">
        <f t="shared" si="7"/>
        <v/>
      </c>
      <c r="E224" s="14"/>
      <c r="F224" s="14"/>
      <c r="G224" s="10"/>
    </row>
    <row r="225" spans="2:7" x14ac:dyDescent="0.25">
      <c r="B225" s="15"/>
      <c r="C225" s="16" t="str">
        <f t="shared" si="6"/>
        <v/>
      </c>
      <c r="D225" s="16" t="str">
        <f t="shared" si="7"/>
        <v/>
      </c>
      <c r="E225" s="14"/>
      <c r="F225" s="14"/>
      <c r="G225" s="10"/>
    </row>
    <row r="226" spans="2:7" x14ac:dyDescent="0.25">
      <c r="B226" s="15"/>
      <c r="C226" s="16" t="str">
        <f t="shared" si="6"/>
        <v/>
      </c>
      <c r="D226" s="16" t="str">
        <f t="shared" si="7"/>
        <v/>
      </c>
      <c r="E226" s="14"/>
      <c r="F226" s="14"/>
      <c r="G226" s="10"/>
    </row>
    <row r="227" spans="2:7" x14ac:dyDescent="0.25">
      <c r="B227" s="15"/>
      <c r="C227" s="16" t="str">
        <f t="shared" si="6"/>
        <v/>
      </c>
      <c r="D227" s="16" t="str">
        <f t="shared" si="7"/>
        <v/>
      </c>
      <c r="E227" s="14"/>
      <c r="F227" s="14"/>
      <c r="G227" s="10"/>
    </row>
    <row r="228" spans="2:7" x14ac:dyDescent="0.25">
      <c r="B228" s="15"/>
      <c r="C228" s="16" t="str">
        <f t="shared" si="6"/>
        <v/>
      </c>
      <c r="D228" s="16" t="str">
        <f t="shared" si="7"/>
        <v/>
      </c>
      <c r="E228" s="14"/>
      <c r="F228" s="14"/>
      <c r="G228" s="10"/>
    </row>
    <row r="229" spans="2:7" x14ac:dyDescent="0.25">
      <c r="B229" s="15"/>
      <c r="C229" s="16" t="str">
        <f t="shared" si="6"/>
        <v/>
      </c>
      <c r="D229" s="16" t="str">
        <f t="shared" si="7"/>
        <v/>
      </c>
      <c r="E229" s="14"/>
      <c r="F229" s="14"/>
      <c r="G229" s="10"/>
    </row>
    <row r="230" spans="2:7" x14ac:dyDescent="0.25">
      <c r="B230" s="15"/>
      <c r="C230" s="16" t="str">
        <f t="shared" si="6"/>
        <v/>
      </c>
      <c r="D230" s="16" t="str">
        <f t="shared" si="7"/>
        <v/>
      </c>
      <c r="E230" s="14"/>
      <c r="F230" s="14"/>
      <c r="G230" s="10"/>
    </row>
    <row r="231" spans="2:7" x14ac:dyDescent="0.25">
      <c r="B231" s="15"/>
      <c r="C231" s="16" t="str">
        <f t="shared" si="6"/>
        <v/>
      </c>
      <c r="D231" s="16" t="str">
        <f t="shared" si="7"/>
        <v/>
      </c>
      <c r="E231" s="14"/>
      <c r="F231" s="14"/>
      <c r="G231" s="10"/>
    </row>
    <row r="232" spans="2:7" x14ac:dyDescent="0.25">
      <c r="B232" s="15"/>
      <c r="C232" s="16" t="str">
        <f t="shared" si="6"/>
        <v/>
      </c>
      <c r="D232" s="16" t="str">
        <f t="shared" si="7"/>
        <v/>
      </c>
      <c r="E232" s="14"/>
      <c r="F232" s="14"/>
      <c r="G232" s="10"/>
    </row>
    <row r="233" spans="2:7" x14ac:dyDescent="0.25">
      <c r="B233" s="15"/>
      <c r="C233" s="16" t="str">
        <f t="shared" si="6"/>
        <v/>
      </c>
      <c r="D233" s="16" t="str">
        <f t="shared" si="7"/>
        <v/>
      </c>
      <c r="E233" s="14"/>
      <c r="F233" s="14"/>
      <c r="G233" s="10"/>
    </row>
    <row r="234" spans="2:7" x14ac:dyDescent="0.25">
      <c r="B234" s="15"/>
      <c r="C234" s="16" t="str">
        <f t="shared" si="6"/>
        <v/>
      </c>
      <c r="D234" s="16" t="str">
        <f t="shared" si="7"/>
        <v/>
      </c>
      <c r="E234" s="14"/>
      <c r="F234" s="14"/>
      <c r="G234" s="10"/>
    </row>
    <row r="235" spans="2:7" x14ac:dyDescent="0.25">
      <c r="B235" s="15"/>
      <c r="C235" s="16" t="str">
        <f t="shared" si="6"/>
        <v/>
      </c>
      <c r="D235" s="16" t="str">
        <f t="shared" si="7"/>
        <v/>
      </c>
      <c r="E235" s="14"/>
      <c r="F235" s="14"/>
      <c r="G235" s="10"/>
    </row>
    <row r="236" spans="2:7" x14ac:dyDescent="0.25">
      <c r="B236" s="15"/>
      <c r="C236" s="16" t="str">
        <f t="shared" si="6"/>
        <v/>
      </c>
      <c r="D236" s="16" t="str">
        <f t="shared" si="7"/>
        <v/>
      </c>
      <c r="E236" s="14"/>
      <c r="F236" s="14"/>
      <c r="G236" s="10"/>
    </row>
    <row r="237" spans="2:7" x14ac:dyDescent="0.25">
      <c r="B237" s="15"/>
      <c r="C237" s="16" t="str">
        <f t="shared" si="6"/>
        <v/>
      </c>
      <c r="D237" s="16" t="str">
        <f t="shared" si="7"/>
        <v/>
      </c>
      <c r="E237" s="14"/>
      <c r="F237" s="14"/>
      <c r="G237" s="10"/>
    </row>
    <row r="238" spans="2:7" x14ac:dyDescent="0.25">
      <c r="B238" s="15"/>
      <c r="C238" s="16" t="str">
        <f t="shared" si="6"/>
        <v/>
      </c>
      <c r="D238" s="16" t="str">
        <f t="shared" si="7"/>
        <v/>
      </c>
      <c r="E238" s="14"/>
      <c r="F238" s="14"/>
      <c r="G238" s="10"/>
    </row>
    <row r="239" spans="2:7" x14ac:dyDescent="0.25">
      <c r="B239" s="15"/>
      <c r="C239" s="16" t="str">
        <f t="shared" si="6"/>
        <v/>
      </c>
      <c r="D239" s="16" t="str">
        <f t="shared" si="7"/>
        <v/>
      </c>
      <c r="E239" s="14"/>
      <c r="F239" s="14"/>
      <c r="G239" s="10"/>
    </row>
    <row r="240" spans="2:7" x14ac:dyDescent="0.25">
      <c r="B240" s="15"/>
      <c r="C240" s="16" t="str">
        <f t="shared" si="6"/>
        <v/>
      </c>
      <c r="D240" s="16" t="str">
        <f t="shared" si="7"/>
        <v/>
      </c>
      <c r="E240" s="14"/>
      <c r="F240" s="14"/>
      <c r="G240" s="10"/>
    </row>
    <row r="241" spans="2:7" x14ac:dyDescent="0.25">
      <c r="B241" s="15"/>
      <c r="C241" s="16" t="str">
        <f t="shared" si="6"/>
        <v/>
      </c>
      <c r="D241" s="16" t="str">
        <f t="shared" si="7"/>
        <v/>
      </c>
      <c r="E241" s="14"/>
      <c r="F241" s="14"/>
      <c r="G241" s="10"/>
    </row>
    <row r="242" spans="2:7" x14ac:dyDescent="0.25">
      <c r="B242" s="15"/>
      <c r="C242" s="16" t="str">
        <f t="shared" si="6"/>
        <v/>
      </c>
      <c r="D242" s="16" t="str">
        <f t="shared" si="7"/>
        <v/>
      </c>
      <c r="E242" s="14"/>
      <c r="F242" s="14"/>
      <c r="G242" s="10"/>
    </row>
    <row r="243" spans="2:7" x14ac:dyDescent="0.25">
      <c r="B243" s="15"/>
      <c r="C243" s="16" t="str">
        <f t="shared" si="6"/>
        <v/>
      </c>
      <c r="D243" s="16" t="str">
        <f t="shared" si="7"/>
        <v/>
      </c>
      <c r="E243" s="14"/>
      <c r="F243" s="14"/>
      <c r="G243" s="10"/>
    </row>
    <row r="244" spans="2:7" x14ac:dyDescent="0.25">
      <c r="B244" s="15"/>
      <c r="C244" s="16" t="str">
        <f t="shared" si="6"/>
        <v/>
      </c>
      <c r="D244" s="16" t="str">
        <f t="shared" si="7"/>
        <v/>
      </c>
      <c r="E244" s="14"/>
      <c r="F244" s="14"/>
      <c r="G244" s="10"/>
    </row>
    <row r="245" spans="2:7" x14ac:dyDescent="0.25">
      <c r="B245" s="15"/>
      <c r="C245" s="16" t="str">
        <f t="shared" si="6"/>
        <v/>
      </c>
      <c r="D245" s="16" t="str">
        <f t="shared" si="7"/>
        <v/>
      </c>
      <c r="E245" s="14"/>
      <c r="F245" s="14"/>
      <c r="G245" s="10"/>
    </row>
    <row r="246" spans="2:7" x14ac:dyDescent="0.25">
      <c r="B246" s="15"/>
      <c r="C246" s="16" t="str">
        <f t="shared" si="6"/>
        <v/>
      </c>
      <c r="D246" s="16" t="str">
        <f t="shared" si="7"/>
        <v/>
      </c>
      <c r="E246" s="14"/>
      <c r="F246" s="14"/>
      <c r="G246" s="10"/>
    </row>
    <row r="247" spans="2:7" x14ac:dyDescent="0.25">
      <c r="B247" s="15"/>
      <c r="C247" s="16" t="str">
        <f t="shared" si="6"/>
        <v/>
      </c>
      <c r="D247" s="16" t="str">
        <f t="shared" si="7"/>
        <v/>
      </c>
      <c r="E247" s="14"/>
      <c r="F247" s="14"/>
      <c r="G247" s="10"/>
    </row>
    <row r="248" spans="2:7" x14ac:dyDescent="0.25">
      <c r="B248" s="15"/>
      <c r="C248" s="16" t="str">
        <f t="shared" si="6"/>
        <v/>
      </c>
      <c r="D248" s="16" t="str">
        <f t="shared" si="7"/>
        <v/>
      </c>
      <c r="E248" s="14"/>
      <c r="F248" s="14"/>
      <c r="G248" s="10"/>
    </row>
    <row r="249" spans="2:7" x14ac:dyDescent="0.25">
      <c r="B249" s="15"/>
      <c r="C249" s="16" t="str">
        <f t="shared" si="6"/>
        <v/>
      </c>
      <c r="D249" s="16" t="str">
        <f t="shared" si="7"/>
        <v/>
      </c>
      <c r="E249" s="14"/>
      <c r="F249" s="14"/>
      <c r="G249" s="10"/>
    </row>
    <row r="250" spans="2:7" x14ac:dyDescent="0.25">
      <c r="B250" s="15"/>
      <c r="C250" s="16" t="str">
        <f t="shared" si="6"/>
        <v/>
      </c>
      <c r="D250" s="16" t="str">
        <f t="shared" si="7"/>
        <v/>
      </c>
      <c r="E250" s="14"/>
      <c r="F250" s="14"/>
      <c r="G250" s="10"/>
    </row>
    <row r="251" spans="2:7" x14ac:dyDescent="0.25">
      <c r="B251" s="15"/>
      <c r="C251" s="16" t="str">
        <f t="shared" si="6"/>
        <v/>
      </c>
      <c r="D251" s="16" t="str">
        <f t="shared" si="7"/>
        <v/>
      </c>
      <c r="E251" s="14"/>
      <c r="F251" s="14"/>
      <c r="G251" s="10"/>
    </row>
    <row r="252" spans="2:7" x14ac:dyDescent="0.25">
      <c r="B252" s="15"/>
      <c r="C252" s="16" t="str">
        <f t="shared" si="6"/>
        <v/>
      </c>
      <c r="D252" s="16" t="str">
        <f t="shared" si="7"/>
        <v/>
      </c>
      <c r="E252" s="14"/>
      <c r="F252" s="14"/>
      <c r="G252" s="10"/>
    </row>
    <row r="253" spans="2:7" x14ac:dyDescent="0.25">
      <c r="B253" s="15"/>
      <c r="C253" s="16" t="str">
        <f t="shared" si="6"/>
        <v/>
      </c>
      <c r="D253" s="16" t="str">
        <f t="shared" si="7"/>
        <v/>
      </c>
      <c r="E253" s="14"/>
      <c r="F253" s="14"/>
      <c r="G253" s="10"/>
    </row>
    <row r="254" spans="2:7" x14ac:dyDescent="0.25">
      <c r="B254" s="15"/>
      <c r="C254" s="16" t="str">
        <f t="shared" si="6"/>
        <v/>
      </c>
      <c r="D254" s="16" t="str">
        <f t="shared" si="7"/>
        <v/>
      </c>
      <c r="E254" s="14"/>
      <c r="F254" s="14"/>
      <c r="G254" s="10"/>
    </row>
    <row r="255" spans="2:7" x14ac:dyDescent="0.25">
      <c r="B255" s="15"/>
      <c r="C255" s="16" t="str">
        <f t="shared" si="6"/>
        <v/>
      </c>
      <c r="D255" s="16" t="str">
        <f t="shared" si="7"/>
        <v/>
      </c>
      <c r="E255" s="14"/>
      <c r="F255" s="14"/>
      <c r="G255" s="10"/>
    </row>
    <row r="256" spans="2:7" x14ac:dyDescent="0.25">
      <c r="B256" s="15"/>
      <c r="C256" s="16" t="str">
        <f t="shared" si="6"/>
        <v/>
      </c>
      <c r="D256" s="16" t="str">
        <f t="shared" si="7"/>
        <v/>
      </c>
      <c r="E256" s="14"/>
      <c r="F256" s="14"/>
      <c r="G256" s="10"/>
    </row>
    <row r="257" spans="2:7" x14ac:dyDescent="0.25">
      <c r="B257" s="15"/>
      <c r="C257" s="16" t="str">
        <f t="shared" ref="C257:C320" si="8">IF(B257="","",INT((B257-DATE(YEAR(B257),1,1))/14)+1)</f>
        <v/>
      </c>
      <c r="D257" s="16" t="str">
        <f t="shared" ref="D257:D300" si="9">IF(B257="","",TEXT(B257,"mmm"))</f>
        <v/>
      </c>
      <c r="E257" s="14"/>
      <c r="F257" s="14"/>
      <c r="G257" s="10"/>
    </row>
    <row r="258" spans="2:7" x14ac:dyDescent="0.25">
      <c r="B258" s="15"/>
      <c r="C258" s="16" t="str">
        <f t="shared" si="8"/>
        <v/>
      </c>
      <c r="D258" s="16" t="str">
        <f t="shared" si="9"/>
        <v/>
      </c>
      <c r="E258" s="14"/>
      <c r="F258" s="14"/>
      <c r="G258" s="10"/>
    </row>
    <row r="259" spans="2:7" x14ac:dyDescent="0.25">
      <c r="B259" s="15"/>
      <c r="C259" s="16" t="str">
        <f t="shared" si="8"/>
        <v/>
      </c>
      <c r="D259" s="16" t="str">
        <f t="shared" si="9"/>
        <v/>
      </c>
      <c r="E259" s="14"/>
      <c r="F259" s="14"/>
      <c r="G259" s="10"/>
    </row>
    <row r="260" spans="2:7" x14ac:dyDescent="0.25">
      <c r="B260" s="15"/>
      <c r="C260" s="16" t="str">
        <f t="shared" si="8"/>
        <v/>
      </c>
      <c r="D260" s="16" t="str">
        <f t="shared" si="9"/>
        <v/>
      </c>
      <c r="E260" s="14"/>
      <c r="F260" s="14"/>
      <c r="G260" s="10"/>
    </row>
    <row r="261" spans="2:7" x14ac:dyDescent="0.25">
      <c r="B261" s="15"/>
      <c r="C261" s="16" t="str">
        <f t="shared" si="8"/>
        <v/>
      </c>
      <c r="D261" s="16" t="str">
        <f t="shared" si="9"/>
        <v/>
      </c>
      <c r="E261" s="14"/>
      <c r="F261" s="14"/>
      <c r="G261" s="10"/>
    </row>
    <row r="262" spans="2:7" x14ac:dyDescent="0.25">
      <c r="B262" s="15"/>
      <c r="C262" s="16" t="str">
        <f t="shared" si="8"/>
        <v/>
      </c>
      <c r="D262" s="16" t="str">
        <f t="shared" si="9"/>
        <v/>
      </c>
      <c r="E262" s="14"/>
      <c r="F262" s="14"/>
      <c r="G262" s="10"/>
    </row>
    <row r="263" spans="2:7" x14ac:dyDescent="0.25">
      <c r="B263" s="15"/>
      <c r="C263" s="16" t="str">
        <f t="shared" si="8"/>
        <v/>
      </c>
      <c r="D263" s="16" t="str">
        <f t="shared" si="9"/>
        <v/>
      </c>
      <c r="E263" s="14"/>
      <c r="F263" s="14"/>
      <c r="G263" s="10"/>
    </row>
    <row r="264" spans="2:7" x14ac:dyDescent="0.25">
      <c r="B264" s="15"/>
      <c r="C264" s="16" t="str">
        <f t="shared" si="8"/>
        <v/>
      </c>
      <c r="D264" s="16" t="str">
        <f t="shared" si="9"/>
        <v/>
      </c>
      <c r="E264" s="14"/>
      <c r="F264" s="14"/>
      <c r="G264" s="10"/>
    </row>
    <row r="265" spans="2:7" x14ac:dyDescent="0.25">
      <c r="B265" s="15"/>
      <c r="C265" s="16" t="str">
        <f t="shared" si="8"/>
        <v/>
      </c>
      <c r="D265" s="16" t="str">
        <f t="shared" si="9"/>
        <v/>
      </c>
      <c r="E265" s="14"/>
      <c r="F265" s="14"/>
      <c r="G265" s="10"/>
    </row>
    <row r="266" spans="2:7" x14ac:dyDescent="0.25">
      <c r="B266" s="15"/>
      <c r="C266" s="16" t="str">
        <f t="shared" si="8"/>
        <v/>
      </c>
      <c r="D266" s="16" t="str">
        <f t="shared" si="9"/>
        <v/>
      </c>
      <c r="E266" s="14"/>
      <c r="F266" s="14"/>
      <c r="G266" s="10"/>
    </row>
    <row r="267" spans="2:7" x14ac:dyDescent="0.25">
      <c r="B267" s="15"/>
      <c r="C267" s="16" t="str">
        <f t="shared" si="8"/>
        <v/>
      </c>
      <c r="D267" s="16" t="str">
        <f t="shared" si="9"/>
        <v/>
      </c>
      <c r="E267" s="14"/>
      <c r="F267" s="14"/>
      <c r="G267" s="10"/>
    </row>
    <row r="268" spans="2:7" x14ac:dyDescent="0.25">
      <c r="B268" s="15"/>
      <c r="C268" s="16" t="str">
        <f t="shared" si="8"/>
        <v/>
      </c>
      <c r="D268" s="16" t="str">
        <f t="shared" si="9"/>
        <v/>
      </c>
      <c r="E268" s="14"/>
      <c r="F268" s="14"/>
      <c r="G268" s="10"/>
    </row>
    <row r="269" spans="2:7" x14ac:dyDescent="0.25">
      <c r="B269" s="15"/>
      <c r="C269" s="16" t="str">
        <f t="shared" si="8"/>
        <v/>
      </c>
      <c r="D269" s="16" t="str">
        <f t="shared" si="9"/>
        <v/>
      </c>
      <c r="E269" s="14"/>
      <c r="F269" s="14"/>
      <c r="G269" s="10"/>
    </row>
    <row r="270" spans="2:7" x14ac:dyDescent="0.25">
      <c r="B270" s="15"/>
      <c r="C270" s="16" t="str">
        <f t="shared" si="8"/>
        <v/>
      </c>
      <c r="D270" s="16" t="str">
        <f t="shared" si="9"/>
        <v/>
      </c>
      <c r="E270" s="14"/>
      <c r="F270" s="14"/>
      <c r="G270" s="10"/>
    </row>
    <row r="271" spans="2:7" x14ac:dyDescent="0.25">
      <c r="B271" s="15"/>
      <c r="C271" s="16" t="str">
        <f t="shared" si="8"/>
        <v/>
      </c>
      <c r="D271" s="16" t="str">
        <f t="shared" si="9"/>
        <v/>
      </c>
      <c r="E271" s="14"/>
      <c r="F271" s="14"/>
      <c r="G271" s="10"/>
    </row>
    <row r="272" spans="2:7" x14ac:dyDescent="0.25">
      <c r="B272" s="15"/>
      <c r="C272" s="16" t="str">
        <f t="shared" si="8"/>
        <v/>
      </c>
      <c r="D272" s="16" t="str">
        <f t="shared" si="9"/>
        <v/>
      </c>
      <c r="E272" s="14"/>
      <c r="F272" s="14"/>
      <c r="G272" s="10"/>
    </row>
    <row r="273" spans="2:7" x14ac:dyDescent="0.25">
      <c r="B273" s="15"/>
      <c r="C273" s="16" t="str">
        <f t="shared" si="8"/>
        <v/>
      </c>
      <c r="D273" s="16" t="str">
        <f t="shared" si="9"/>
        <v/>
      </c>
      <c r="E273" s="14"/>
      <c r="F273" s="14"/>
      <c r="G273" s="10"/>
    </row>
    <row r="274" spans="2:7" x14ac:dyDescent="0.25">
      <c r="B274" s="15"/>
      <c r="C274" s="16" t="str">
        <f t="shared" si="8"/>
        <v/>
      </c>
      <c r="D274" s="16" t="str">
        <f t="shared" si="9"/>
        <v/>
      </c>
      <c r="E274" s="14"/>
      <c r="F274" s="14"/>
      <c r="G274" s="10"/>
    </row>
    <row r="275" spans="2:7" x14ac:dyDescent="0.25">
      <c r="B275" s="15"/>
      <c r="C275" s="16" t="str">
        <f t="shared" si="8"/>
        <v/>
      </c>
      <c r="D275" s="16" t="str">
        <f t="shared" si="9"/>
        <v/>
      </c>
      <c r="E275" s="14"/>
      <c r="F275" s="14"/>
      <c r="G275" s="10"/>
    </row>
    <row r="276" spans="2:7" x14ac:dyDescent="0.25">
      <c r="B276" s="15"/>
      <c r="C276" s="16" t="str">
        <f t="shared" si="8"/>
        <v/>
      </c>
      <c r="D276" s="16" t="str">
        <f t="shared" si="9"/>
        <v/>
      </c>
      <c r="E276" s="14"/>
      <c r="F276" s="14"/>
      <c r="G276" s="10"/>
    </row>
    <row r="277" spans="2:7" x14ac:dyDescent="0.25">
      <c r="B277" s="15"/>
      <c r="C277" s="16" t="str">
        <f t="shared" si="8"/>
        <v/>
      </c>
      <c r="D277" s="16" t="str">
        <f t="shared" si="9"/>
        <v/>
      </c>
      <c r="E277" s="14"/>
      <c r="F277" s="14"/>
      <c r="G277" s="10"/>
    </row>
    <row r="278" spans="2:7" x14ac:dyDescent="0.25">
      <c r="B278" s="15"/>
      <c r="C278" s="16" t="str">
        <f t="shared" si="8"/>
        <v/>
      </c>
      <c r="D278" s="16" t="str">
        <f t="shared" si="9"/>
        <v/>
      </c>
      <c r="E278" s="14"/>
      <c r="F278" s="14"/>
      <c r="G278" s="10"/>
    </row>
    <row r="279" spans="2:7" x14ac:dyDescent="0.25">
      <c r="B279" s="15"/>
      <c r="C279" s="16" t="str">
        <f t="shared" si="8"/>
        <v/>
      </c>
      <c r="D279" s="16" t="str">
        <f t="shared" si="9"/>
        <v/>
      </c>
      <c r="E279" s="14"/>
      <c r="F279" s="14"/>
      <c r="G279" s="10"/>
    </row>
    <row r="280" spans="2:7" x14ac:dyDescent="0.25">
      <c r="B280" s="15"/>
      <c r="C280" s="16" t="str">
        <f t="shared" si="8"/>
        <v/>
      </c>
      <c r="D280" s="16" t="str">
        <f t="shared" si="9"/>
        <v/>
      </c>
      <c r="E280" s="14"/>
      <c r="F280" s="14"/>
      <c r="G280" s="10"/>
    </row>
    <row r="281" spans="2:7" x14ac:dyDescent="0.25">
      <c r="B281" s="15"/>
      <c r="C281" s="16" t="str">
        <f t="shared" si="8"/>
        <v/>
      </c>
      <c r="D281" s="16" t="str">
        <f t="shared" si="9"/>
        <v/>
      </c>
      <c r="E281" s="14"/>
      <c r="F281" s="14"/>
      <c r="G281" s="10"/>
    </row>
    <row r="282" spans="2:7" x14ac:dyDescent="0.25">
      <c r="B282" s="15"/>
      <c r="C282" s="16" t="str">
        <f t="shared" si="8"/>
        <v/>
      </c>
      <c r="D282" s="16" t="str">
        <f t="shared" si="9"/>
        <v/>
      </c>
      <c r="E282" s="14"/>
      <c r="F282" s="14"/>
      <c r="G282" s="10"/>
    </row>
    <row r="283" spans="2:7" x14ac:dyDescent="0.25">
      <c r="B283" s="15"/>
      <c r="C283" s="16" t="str">
        <f t="shared" si="8"/>
        <v/>
      </c>
      <c r="D283" s="16" t="str">
        <f t="shared" si="9"/>
        <v/>
      </c>
      <c r="E283" s="14"/>
      <c r="F283" s="14"/>
      <c r="G283" s="10"/>
    </row>
    <row r="284" spans="2:7" x14ac:dyDescent="0.25">
      <c r="B284" s="15"/>
      <c r="C284" s="16" t="str">
        <f t="shared" si="8"/>
        <v/>
      </c>
      <c r="D284" s="16" t="str">
        <f t="shared" si="9"/>
        <v/>
      </c>
      <c r="E284" s="14"/>
      <c r="F284" s="14"/>
      <c r="G284" s="10"/>
    </row>
    <row r="285" spans="2:7" x14ac:dyDescent="0.25">
      <c r="B285" s="15"/>
      <c r="C285" s="16" t="str">
        <f t="shared" si="8"/>
        <v/>
      </c>
      <c r="D285" s="16" t="str">
        <f t="shared" si="9"/>
        <v/>
      </c>
      <c r="E285" s="14"/>
      <c r="F285" s="14"/>
      <c r="G285" s="10"/>
    </row>
    <row r="286" spans="2:7" x14ac:dyDescent="0.25">
      <c r="B286" s="15"/>
      <c r="C286" s="16" t="str">
        <f t="shared" si="8"/>
        <v/>
      </c>
      <c r="D286" s="16" t="str">
        <f t="shared" si="9"/>
        <v/>
      </c>
      <c r="E286" s="14"/>
      <c r="F286" s="14"/>
      <c r="G286" s="10"/>
    </row>
    <row r="287" spans="2:7" x14ac:dyDescent="0.25">
      <c r="B287" s="15"/>
      <c r="C287" s="16" t="str">
        <f t="shared" si="8"/>
        <v/>
      </c>
      <c r="D287" s="16" t="str">
        <f t="shared" si="9"/>
        <v/>
      </c>
      <c r="E287" s="14"/>
      <c r="F287" s="14"/>
      <c r="G287" s="10"/>
    </row>
    <row r="288" spans="2:7" x14ac:dyDescent="0.25">
      <c r="B288" s="15"/>
      <c r="C288" s="16" t="str">
        <f t="shared" si="8"/>
        <v/>
      </c>
      <c r="D288" s="16" t="str">
        <f t="shared" si="9"/>
        <v/>
      </c>
      <c r="E288" s="14"/>
      <c r="F288" s="14"/>
      <c r="G288" s="10"/>
    </row>
    <row r="289" spans="2:7" x14ac:dyDescent="0.25">
      <c r="B289" s="15"/>
      <c r="C289" s="16" t="str">
        <f t="shared" si="8"/>
        <v/>
      </c>
      <c r="D289" s="16" t="str">
        <f t="shared" si="9"/>
        <v/>
      </c>
      <c r="E289" s="14"/>
      <c r="F289" s="14"/>
      <c r="G289" s="10"/>
    </row>
    <row r="290" spans="2:7" x14ac:dyDescent="0.25">
      <c r="B290" s="15"/>
      <c r="C290" s="16" t="str">
        <f t="shared" si="8"/>
        <v/>
      </c>
      <c r="D290" s="16" t="str">
        <f t="shared" si="9"/>
        <v/>
      </c>
      <c r="E290" s="14"/>
      <c r="F290" s="14"/>
      <c r="G290" s="10"/>
    </row>
    <row r="291" spans="2:7" x14ac:dyDescent="0.25">
      <c r="B291" s="15"/>
      <c r="C291" s="16" t="str">
        <f t="shared" si="8"/>
        <v/>
      </c>
      <c r="D291" s="16" t="str">
        <f t="shared" si="9"/>
        <v/>
      </c>
      <c r="E291" s="14"/>
      <c r="F291" s="14"/>
      <c r="G291" s="10"/>
    </row>
    <row r="292" spans="2:7" x14ac:dyDescent="0.25">
      <c r="B292" s="15"/>
      <c r="C292" s="16" t="str">
        <f t="shared" si="8"/>
        <v/>
      </c>
      <c r="D292" s="16" t="str">
        <f t="shared" si="9"/>
        <v/>
      </c>
      <c r="E292" s="14"/>
      <c r="F292" s="14"/>
      <c r="G292" s="10"/>
    </row>
    <row r="293" spans="2:7" x14ac:dyDescent="0.25">
      <c r="B293" s="15"/>
      <c r="C293" s="16" t="str">
        <f t="shared" si="8"/>
        <v/>
      </c>
      <c r="D293" s="16" t="str">
        <f t="shared" si="9"/>
        <v/>
      </c>
      <c r="E293" s="14"/>
      <c r="F293" s="14"/>
      <c r="G293" s="10"/>
    </row>
    <row r="294" spans="2:7" x14ac:dyDescent="0.25">
      <c r="B294" s="15"/>
      <c r="C294" s="16" t="str">
        <f t="shared" si="8"/>
        <v/>
      </c>
      <c r="D294" s="16" t="str">
        <f t="shared" si="9"/>
        <v/>
      </c>
      <c r="E294" s="14"/>
      <c r="F294" s="14"/>
      <c r="G294" s="10"/>
    </row>
    <row r="295" spans="2:7" x14ac:dyDescent="0.25">
      <c r="B295" s="15"/>
      <c r="C295" s="16" t="str">
        <f t="shared" si="8"/>
        <v/>
      </c>
      <c r="D295" s="16" t="str">
        <f t="shared" si="9"/>
        <v/>
      </c>
      <c r="E295" s="14"/>
      <c r="F295" s="14"/>
      <c r="G295" s="10"/>
    </row>
    <row r="296" spans="2:7" x14ac:dyDescent="0.25">
      <c r="B296" s="15"/>
      <c r="C296" s="16" t="str">
        <f t="shared" si="8"/>
        <v/>
      </c>
      <c r="D296" s="16" t="str">
        <f t="shared" si="9"/>
        <v/>
      </c>
      <c r="E296" s="14"/>
      <c r="F296" s="14"/>
      <c r="G296" s="10"/>
    </row>
    <row r="297" spans="2:7" x14ac:dyDescent="0.25">
      <c r="B297" s="15"/>
      <c r="C297" s="16" t="str">
        <f t="shared" si="8"/>
        <v/>
      </c>
      <c r="D297" s="16" t="str">
        <f t="shared" si="9"/>
        <v/>
      </c>
      <c r="E297" s="14"/>
      <c r="F297" s="14"/>
      <c r="G297" s="10"/>
    </row>
    <row r="298" spans="2:7" x14ac:dyDescent="0.25">
      <c r="B298" s="15"/>
      <c r="C298" s="16" t="str">
        <f t="shared" si="8"/>
        <v/>
      </c>
      <c r="D298" s="16" t="str">
        <f t="shared" si="9"/>
        <v/>
      </c>
      <c r="E298" s="14"/>
      <c r="F298" s="14"/>
      <c r="G298" s="10"/>
    </row>
    <row r="299" spans="2:7" x14ac:dyDescent="0.25">
      <c r="B299" s="15"/>
      <c r="C299" s="16" t="str">
        <f t="shared" si="8"/>
        <v/>
      </c>
      <c r="D299" s="16" t="str">
        <f t="shared" si="9"/>
        <v/>
      </c>
      <c r="E299" s="14"/>
      <c r="F299" s="14"/>
      <c r="G299" s="10"/>
    </row>
    <row r="300" spans="2:7" x14ac:dyDescent="0.25">
      <c r="B300" s="15"/>
      <c r="C300" s="16" t="str">
        <f t="shared" si="8"/>
        <v/>
      </c>
      <c r="D300" s="16" t="str">
        <f t="shared" si="9"/>
        <v/>
      </c>
      <c r="E300" s="14"/>
      <c r="F300" s="14"/>
      <c r="G300" s="10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BudgetCategories!$B$6:$B$16</xm:f>
          </x14:formula1>
          <x14:formula2>
            <xm:f>0</xm:f>
          </x14:formula2>
          <xm:sqref>F21 F26 E32:F32 E6:E31 E33:E41 E42:F42 E43:E47 E48:F48 E49:E300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26" sqref="K26"/>
    </sheetView>
  </sheetViews>
  <sheetFormatPr defaultColWidth="8.7109375" defaultRowHeight="15" x14ac:dyDescent="0.25"/>
  <cols>
    <col min="1" max="1" width="2" customWidth="1"/>
    <col min="2" max="2" width="43.42578125" customWidth="1"/>
    <col min="3" max="14" width="10" customWidth="1"/>
    <col min="15" max="15" width="13" customWidth="1"/>
  </cols>
  <sheetData>
    <row r="2" spans="2:15" ht="20.25" x14ac:dyDescent="0.3">
      <c r="B2" s="1" t="s">
        <v>125</v>
      </c>
    </row>
    <row r="3" spans="2:15" x14ac:dyDescent="0.25">
      <c r="B3" s="2" t="s">
        <v>74</v>
      </c>
    </row>
    <row r="5" spans="2:15" x14ac:dyDescent="0.25">
      <c r="B5" s="9" t="s">
        <v>50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35</v>
      </c>
      <c r="I5" s="9" t="s">
        <v>36</v>
      </c>
      <c r="J5" s="9" t="s">
        <v>37</v>
      </c>
      <c r="K5" s="9" t="s">
        <v>38</v>
      </c>
      <c r="L5" s="9" t="s">
        <v>39</v>
      </c>
      <c r="M5" s="9" t="s">
        <v>40</v>
      </c>
      <c r="N5" s="9" t="s">
        <v>41</v>
      </c>
      <c r="O5" s="9" t="s">
        <v>75</v>
      </c>
    </row>
    <row r="6" spans="2:15" x14ac:dyDescent="0.25">
      <c r="B6" s="17" t="str">
        <f>BudgetCategories!B6</f>
        <v>Rent</v>
      </c>
      <c r="C6" s="11">
        <f>SUMIFS(FortnightlyLog!$G$6:$G$300,FortnightlyLog!$E$6:$E$300,$B6,FortnightlyLog!$D$6:$D$300,C$5)</f>
        <v>1960</v>
      </c>
      <c r="D6" s="11">
        <f>SUMIFS(FortnightlyLog!$G$6:$G$300,FortnightlyLog!$E$6:$E$300,$B6,FortnightlyLog!$D$6:$D$300,D$5)</f>
        <v>1000</v>
      </c>
      <c r="E6" s="11">
        <f>SUMIFS(FortnightlyLog!$G$6:$G$300,FortnightlyLog!$E$6:$E$300,$B6,FortnightlyLog!$D$6:$D$300,E$5)</f>
        <v>0</v>
      </c>
      <c r="F6" s="11">
        <f>SUMIFS(FortnightlyLog!$G$6:$G$300,FortnightlyLog!$E$6:$E$300,$B6,FortnightlyLog!$D$6:$D$300,F$5)</f>
        <v>0</v>
      </c>
      <c r="G6" s="11">
        <f>SUMIFS(FortnightlyLog!$G$6:$G$300,FortnightlyLog!$E$6:$E$300,$B6,FortnightlyLog!$D$6:$D$300,G$5)</f>
        <v>0</v>
      </c>
      <c r="H6" s="11">
        <f>SUMIFS(FortnightlyLog!$G$6:$G$300,FortnightlyLog!$E$6:$E$300,$B6,FortnightlyLog!$D$6:$D$300,H$5)</f>
        <v>0</v>
      </c>
      <c r="I6" s="11">
        <f>SUMIFS(FortnightlyLog!$G$6:$G$300,FortnightlyLog!$E$6:$E$300,$B6,FortnightlyLog!$D$6:$D$300,I$5)</f>
        <v>0</v>
      </c>
      <c r="J6" s="11">
        <f>SUMIFS(FortnightlyLog!$G$6:$G$300,FortnightlyLog!$E$6:$E$300,$B6,FortnightlyLog!$D$6:$D$300,J$5)</f>
        <v>0</v>
      </c>
      <c r="K6" s="11">
        <f>SUMIFS(FortnightlyLog!$G$6:$G$300,FortnightlyLog!$E$6:$E$300,$B6,FortnightlyLog!$D$6:$D$300,K$5)</f>
        <v>0</v>
      </c>
      <c r="L6" s="11">
        <f>SUMIFS(FortnightlyLog!$G$6:$G$300,FortnightlyLog!$E$6:$E$300,$B6,FortnightlyLog!$D$6:$D$300,L$5)</f>
        <v>0</v>
      </c>
      <c r="M6" s="11">
        <f>SUMIFS(FortnightlyLog!$G$6:$G$300,FortnightlyLog!$E$6:$E$300,$B6,FortnightlyLog!$D$6:$D$300,M$5)</f>
        <v>0</v>
      </c>
      <c r="N6" s="11">
        <f>SUMIFS(FortnightlyLog!$G$6:$G$300,FortnightlyLog!$E$6:$E$300,$B6,FortnightlyLog!$D$6:$D$300,N$5)</f>
        <v>0</v>
      </c>
      <c r="O6" s="11">
        <f t="shared" ref="O6:O16" si="0">SUM(C6:N6)</f>
        <v>2960</v>
      </c>
    </row>
    <row r="7" spans="2:15" x14ac:dyDescent="0.25">
      <c r="B7" s="17" t="str">
        <f>BudgetCategories!B7</f>
        <v>Utilities</v>
      </c>
      <c r="C7" s="11">
        <f>SUMIFS(FortnightlyLog!$G$6:$G$300,FortnightlyLog!$E$6:$E$300,$B7,FortnightlyLog!$D$6:$D$300,C$5)</f>
        <v>269.5</v>
      </c>
      <c r="D7" s="11">
        <f>SUMIFS(FortnightlyLog!$G$6:$G$300,FortnightlyLog!$E$6:$E$300,$B7,FortnightlyLog!$D$6:$D$300,D$5)</f>
        <v>59</v>
      </c>
      <c r="E7" s="11">
        <f>SUMIFS(FortnightlyLog!$G$6:$G$300,FortnightlyLog!$E$6:$E$300,$B7,FortnightlyLog!$D$6:$D$300,E$5)</f>
        <v>0</v>
      </c>
      <c r="F7" s="11">
        <f>SUMIFS(FortnightlyLog!$G$6:$G$300,FortnightlyLog!$E$6:$E$300,$B7,FortnightlyLog!$D$6:$D$300,F$5)</f>
        <v>0</v>
      </c>
      <c r="G7" s="11">
        <f>SUMIFS(FortnightlyLog!$G$6:$G$300,FortnightlyLog!$E$6:$E$300,$B7,FortnightlyLog!$D$6:$D$300,G$5)</f>
        <v>0</v>
      </c>
      <c r="H7" s="11">
        <f>SUMIFS(FortnightlyLog!$G$6:$G$300,FortnightlyLog!$E$6:$E$300,$B7,FortnightlyLog!$D$6:$D$300,H$5)</f>
        <v>0</v>
      </c>
      <c r="I7" s="11">
        <f>SUMIFS(FortnightlyLog!$G$6:$G$300,FortnightlyLog!$E$6:$E$300,$B7,FortnightlyLog!$D$6:$D$300,I$5)</f>
        <v>0</v>
      </c>
      <c r="J7" s="11">
        <f>SUMIFS(FortnightlyLog!$G$6:$G$300,FortnightlyLog!$E$6:$E$300,$B7,FortnightlyLog!$D$6:$D$300,J$5)</f>
        <v>0</v>
      </c>
      <c r="K7" s="11">
        <f>SUMIFS(FortnightlyLog!$G$6:$G$300,FortnightlyLog!$E$6:$E$300,$B7,FortnightlyLog!$D$6:$D$300,K$5)</f>
        <v>0</v>
      </c>
      <c r="L7" s="11">
        <f>SUMIFS(FortnightlyLog!$G$6:$G$300,FortnightlyLog!$E$6:$E$300,$B7,FortnightlyLog!$D$6:$D$300,L$5)</f>
        <v>0</v>
      </c>
      <c r="M7" s="11">
        <f>SUMIFS(FortnightlyLog!$G$6:$G$300,FortnightlyLog!$E$6:$E$300,$B7,FortnightlyLog!$D$6:$D$300,M$5)</f>
        <v>0</v>
      </c>
      <c r="N7" s="11">
        <f>SUMIFS(FortnightlyLog!$G$6:$G$300,FortnightlyLog!$E$6:$E$300,$B7,FortnightlyLog!$D$6:$D$300,N$5)</f>
        <v>0</v>
      </c>
      <c r="O7" s="11">
        <f t="shared" si="0"/>
        <v>328.5</v>
      </c>
    </row>
    <row r="8" spans="2:15" x14ac:dyDescent="0.25">
      <c r="B8" s="17" t="str">
        <f>BudgetCategories!B8</f>
        <v>Groceries</v>
      </c>
      <c r="C8" s="11">
        <f>SUMIFS(FortnightlyLog!$G$6:$G$300,FortnightlyLog!$E$6:$E$300,$B8,FortnightlyLog!$D$6:$D$300,C$5)</f>
        <v>650.86</v>
      </c>
      <c r="D8" s="11">
        <f>SUMIFS(FortnightlyLog!$G$6:$G$300,FortnightlyLog!$E$6:$E$300,$B8,FortnightlyLog!$D$6:$D$300,D$5)</f>
        <v>98.49</v>
      </c>
      <c r="E8" s="11">
        <f>SUMIFS(FortnightlyLog!$G$6:$G$300,FortnightlyLog!$E$6:$E$300,$B8,FortnightlyLog!$D$6:$D$300,E$5)</f>
        <v>0</v>
      </c>
      <c r="F8" s="11">
        <f>SUMIFS(FortnightlyLog!$G$6:$G$300,FortnightlyLog!$E$6:$E$300,$B8,FortnightlyLog!$D$6:$D$300,F$5)</f>
        <v>0</v>
      </c>
      <c r="G8" s="11">
        <f>SUMIFS(FortnightlyLog!$G$6:$G$300,FortnightlyLog!$E$6:$E$300,$B8,FortnightlyLog!$D$6:$D$300,G$5)</f>
        <v>0</v>
      </c>
      <c r="H8" s="11">
        <f>SUMIFS(FortnightlyLog!$G$6:$G$300,FortnightlyLog!$E$6:$E$300,$B8,FortnightlyLog!$D$6:$D$300,H$5)</f>
        <v>0</v>
      </c>
      <c r="I8" s="11">
        <f>SUMIFS(FortnightlyLog!$G$6:$G$300,FortnightlyLog!$E$6:$E$300,$B8,FortnightlyLog!$D$6:$D$300,I$5)</f>
        <v>0</v>
      </c>
      <c r="J8" s="11">
        <f>SUMIFS(FortnightlyLog!$G$6:$G$300,FortnightlyLog!$E$6:$E$300,$B8,FortnightlyLog!$D$6:$D$300,J$5)</f>
        <v>0</v>
      </c>
      <c r="K8" s="11">
        <f>SUMIFS(FortnightlyLog!$G$6:$G$300,FortnightlyLog!$E$6:$E$300,$B8,FortnightlyLog!$D$6:$D$300,K$5)</f>
        <v>0</v>
      </c>
      <c r="L8" s="11">
        <f>SUMIFS(FortnightlyLog!$G$6:$G$300,FortnightlyLog!$E$6:$E$300,$B8,FortnightlyLog!$D$6:$D$300,L$5)</f>
        <v>0</v>
      </c>
      <c r="M8" s="11">
        <f>SUMIFS(FortnightlyLog!$G$6:$G$300,FortnightlyLog!$E$6:$E$300,$B8,FortnightlyLog!$D$6:$D$300,M$5)</f>
        <v>0</v>
      </c>
      <c r="N8" s="11">
        <f>SUMIFS(FortnightlyLog!$G$6:$G$300,FortnightlyLog!$E$6:$E$300,$B8,FortnightlyLog!$D$6:$D$300,N$5)</f>
        <v>0</v>
      </c>
      <c r="O8" s="11">
        <f t="shared" si="0"/>
        <v>749.35</v>
      </c>
    </row>
    <row r="9" spans="2:15" x14ac:dyDescent="0.25">
      <c r="B9" s="17" t="str">
        <f>BudgetCategories!B9</f>
        <v>Transportation</v>
      </c>
      <c r="C9" s="11">
        <f>SUMIFS(FortnightlyLog!$G$6:$G$300,FortnightlyLog!$E$6:$E$300,$B9,FortnightlyLog!$D$6:$D$300,C$5)</f>
        <v>133.51</v>
      </c>
      <c r="D9" s="11">
        <f>SUMIFS(FortnightlyLog!$G$6:$G$300,FortnightlyLog!$E$6:$E$300,$B9,FortnightlyLog!$D$6:$D$300,D$5)</f>
        <v>192.45</v>
      </c>
      <c r="E9" s="11">
        <f>SUMIFS(FortnightlyLog!$G$6:$G$300,FortnightlyLog!$E$6:$E$300,$B9,FortnightlyLog!$D$6:$D$300,E$5)</f>
        <v>0</v>
      </c>
      <c r="F9" s="11">
        <f>SUMIFS(FortnightlyLog!$G$6:$G$300,FortnightlyLog!$E$6:$E$300,$B9,FortnightlyLog!$D$6:$D$300,F$5)</f>
        <v>0</v>
      </c>
      <c r="G9" s="11">
        <f>SUMIFS(FortnightlyLog!$G$6:$G$300,FortnightlyLog!$E$6:$E$300,$B9,FortnightlyLog!$D$6:$D$300,G$5)</f>
        <v>0</v>
      </c>
      <c r="H9" s="11">
        <f>SUMIFS(FortnightlyLog!$G$6:$G$300,FortnightlyLog!$E$6:$E$300,$B9,FortnightlyLog!$D$6:$D$300,H$5)</f>
        <v>0</v>
      </c>
      <c r="I9" s="11">
        <f>SUMIFS(FortnightlyLog!$G$6:$G$300,FortnightlyLog!$E$6:$E$300,$B9,FortnightlyLog!$D$6:$D$300,I$5)</f>
        <v>0</v>
      </c>
      <c r="J9" s="11">
        <f>SUMIFS(FortnightlyLog!$G$6:$G$300,FortnightlyLog!$E$6:$E$300,$B9,FortnightlyLog!$D$6:$D$300,J$5)</f>
        <v>0</v>
      </c>
      <c r="K9" s="11">
        <f>SUMIFS(FortnightlyLog!$G$6:$G$300,FortnightlyLog!$E$6:$E$300,$B9,FortnightlyLog!$D$6:$D$300,K$5)</f>
        <v>0</v>
      </c>
      <c r="L9" s="11">
        <f>SUMIFS(FortnightlyLog!$G$6:$G$300,FortnightlyLog!$E$6:$E$300,$B9,FortnightlyLog!$D$6:$D$300,L$5)</f>
        <v>0</v>
      </c>
      <c r="M9" s="11">
        <f>SUMIFS(FortnightlyLog!$G$6:$G$300,FortnightlyLog!$E$6:$E$300,$B9,FortnightlyLog!$D$6:$D$300,M$5)</f>
        <v>0</v>
      </c>
      <c r="N9" s="11">
        <f>SUMIFS(FortnightlyLog!$G$6:$G$300,FortnightlyLog!$E$6:$E$300,$B9,FortnightlyLog!$D$6:$D$300,N$5)</f>
        <v>0</v>
      </c>
      <c r="O9" s="11">
        <f t="shared" si="0"/>
        <v>325.95999999999998</v>
      </c>
    </row>
    <row r="10" spans="2:15" x14ac:dyDescent="0.25">
      <c r="B10" s="17" t="str">
        <f>BudgetCategories!B10</f>
        <v>Insurance</v>
      </c>
      <c r="C10" s="11">
        <f>SUMIFS(FortnightlyLog!$G$6:$G$300,FortnightlyLog!$E$6:$E$300,$B10,FortnightlyLog!$D$6:$D$300,C$5)</f>
        <v>143.38</v>
      </c>
      <c r="D10" s="11">
        <f>SUMIFS(FortnightlyLog!$G$6:$G$300,FortnightlyLog!$E$6:$E$300,$B10,FortnightlyLog!$D$6:$D$300,D$5)</f>
        <v>274.95999999999998</v>
      </c>
      <c r="E10" s="11">
        <f>SUMIFS(FortnightlyLog!$G$6:$G$300,FortnightlyLog!$E$6:$E$300,$B10,FortnightlyLog!$D$6:$D$300,E$5)</f>
        <v>0</v>
      </c>
      <c r="F10" s="11">
        <f>SUMIFS(FortnightlyLog!$G$6:$G$300,FortnightlyLog!$E$6:$E$300,$B10,FortnightlyLog!$D$6:$D$300,F$5)</f>
        <v>0</v>
      </c>
      <c r="G10" s="11">
        <f>SUMIFS(FortnightlyLog!$G$6:$G$300,FortnightlyLog!$E$6:$E$300,$B10,FortnightlyLog!$D$6:$D$300,G$5)</f>
        <v>0</v>
      </c>
      <c r="H10" s="11">
        <f>SUMIFS(FortnightlyLog!$G$6:$G$300,FortnightlyLog!$E$6:$E$300,$B10,FortnightlyLog!$D$6:$D$300,H$5)</f>
        <v>0</v>
      </c>
      <c r="I10" s="11">
        <f>SUMIFS(FortnightlyLog!$G$6:$G$300,FortnightlyLog!$E$6:$E$300,$B10,FortnightlyLog!$D$6:$D$300,I$5)</f>
        <v>0</v>
      </c>
      <c r="J10" s="11">
        <f>SUMIFS(FortnightlyLog!$G$6:$G$300,FortnightlyLog!$E$6:$E$300,$B10,FortnightlyLog!$D$6:$D$300,J$5)</f>
        <v>0</v>
      </c>
      <c r="K10" s="11">
        <f>SUMIFS(FortnightlyLog!$G$6:$G$300,FortnightlyLog!$E$6:$E$300,$B10,FortnightlyLog!$D$6:$D$300,K$5)</f>
        <v>0</v>
      </c>
      <c r="L10" s="11">
        <f>SUMIFS(FortnightlyLog!$G$6:$G$300,FortnightlyLog!$E$6:$E$300,$B10,FortnightlyLog!$D$6:$D$300,L$5)</f>
        <v>0</v>
      </c>
      <c r="M10" s="11">
        <f>SUMIFS(FortnightlyLog!$G$6:$G$300,FortnightlyLog!$E$6:$E$300,$B10,FortnightlyLog!$D$6:$D$300,M$5)</f>
        <v>0</v>
      </c>
      <c r="N10" s="11">
        <f>SUMIFS(FortnightlyLog!$G$6:$G$300,FortnightlyLog!$E$6:$E$300,$B10,FortnightlyLog!$D$6:$D$300,N$5)</f>
        <v>0</v>
      </c>
      <c r="O10" s="11">
        <f t="shared" si="0"/>
        <v>418.34</v>
      </c>
    </row>
    <row r="11" spans="2:15" x14ac:dyDescent="0.25">
      <c r="B11" s="17" t="str">
        <f>BudgetCategories!B11</f>
        <v>Dining Out</v>
      </c>
      <c r="C11" s="11">
        <f>SUMIFS(FortnightlyLog!$G$6:$G$300,FortnightlyLog!$E$6:$E$300,$B11,FortnightlyLog!$D$6:$D$300,C$5)</f>
        <v>258.77000000000004</v>
      </c>
      <c r="D11" s="11">
        <f>SUMIFS(FortnightlyLog!$G$6:$G$300,FortnightlyLog!$E$6:$E$300,$B11,FortnightlyLog!$D$6:$D$300,D$5)</f>
        <v>446.67</v>
      </c>
      <c r="E11" s="11">
        <f>SUMIFS(FortnightlyLog!$G$6:$G$300,FortnightlyLog!$E$6:$E$300,$B11,FortnightlyLog!$D$6:$D$300,E$5)</f>
        <v>0</v>
      </c>
      <c r="F11" s="11">
        <f>SUMIFS(FortnightlyLog!$G$6:$G$300,FortnightlyLog!$E$6:$E$300,$B11,FortnightlyLog!$D$6:$D$300,F$5)</f>
        <v>0</v>
      </c>
      <c r="G11" s="11">
        <f>SUMIFS(FortnightlyLog!$G$6:$G$300,FortnightlyLog!$E$6:$E$300,$B11,FortnightlyLog!$D$6:$D$300,G$5)</f>
        <v>0</v>
      </c>
      <c r="H11" s="11">
        <f>SUMIFS(FortnightlyLog!$G$6:$G$300,FortnightlyLog!$E$6:$E$300,$B11,FortnightlyLog!$D$6:$D$300,H$5)</f>
        <v>0</v>
      </c>
      <c r="I11" s="11">
        <f>SUMIFS(FortnightlyLog!$G$6:$G$300,FortnightlyLog!$E$6:$E$300,$B11,FortnightlyLog!$D$6:$D$300,I$5)</f>
        <v>0</v>
      </c>
      <c r="J11" s="11">
        <f>SUMIFS(FortnightlyLog!$G$6:$G$300,FortnightlyLog!$E$6:$E$300,$B11,FortnightlyLog!$D$6:$D$300,J$5)</f>
        <v>0</v>
      </c>
      <c r="K11" s="11">
        <f>SUMIFS(FortnightlyLog!$G$6:$G$300,FortnightlyLog!$E$6:$E$300,$B11,FortnightlyLog!$D$6:$D$300,K$5)</f>
        <v>0</v>
      </c>
      <c r="L11" s="11">
        <f>SUMIFS(FortnightlyLog!$G$6:$G$300,FortnightlyLog!$E$6:$E$300,$B11,FortnightlyLog!$D$6:$D$300,L$5)</f>
        <v>0</v>
      </c>
      <c r="M11" s="11">
        <f>SUMIFS(FortnightlyLog!$G$6:$G$300,FortnightlyLog!$E$6:$E$300,$B11,FortnightlyLog!$D$6:$D$300,M$5)</f>
        <v>0</v>
      </c>
      <c r="N11" s="11">
        <f>SUMIFS(FortnightlyLog!$G$6:$G$300,FortnightlyLog!$E$6:$E$300,$B11,FortnightlyLog!$D$6:$D$300,N$5)</f>
        <v>0</v>
      </c>
      <c r="O11" s="11">
        <f t="shared" si="0"/>
        <v>705.44</v>
      </c>
    </row>
    <row r="12" spans="2:15" x14ac:dyDescent="0.25">
      <c r="B12" s="17" t="str">
        <f>BudgetCategories!B12</f>
        <v>Entertainment</v>
      </c>
      <c r="C12" s="11">
        <f>SUMIFS(FortnightlyLog!$G$6:$G$300,FortnightlyLog!$E$6:$E$300,$B12,FortnightlyLog!$D$6:$D$300,C$5)</f>
        <v>0</v>
      </c>
      <c r="D12" s="11">
        <f>SUMIFS(FortnightlyLog!$G$6:$G$300,FortnightlyLog!$E$6:$E$300,$B12,FortnightlyLog!$D$6:$D$300,D$5)</f>
        <v>0</v>
      </c>
      <c r="E12" s="11">
        <f>SUMIFS(FortnightlyLog!$G$6:$G$300,FortnightlyLog!$E$6:$E$300,$B12,FortnightlyLog!$D$6:$D$300,E$5)</f>
        <v>0</v>
      </c>
      <c r="F12" s="11">
        <f>SUMIFS(FortnightlyLog!$G$6:$G$300,FortnightlyLog!$E$6:$E$300,$B12,FortnightlyLog!$D$6:$D$300,F$5)</f>
        <v>0</v>
      </c>
      <c r="G12" s="11">
        <f>SUMIFS(FortnightlyLog!$G$6:$G$300,FortnightlyLog!$E$6:$E$300,$B12,FortnightlyLog!$D$6:$D$300,G$5)</f>
        <v>0</v>
      </c>
      <c r="H12" s="11">
        <f>SUMIFS(FortnightlyLog!$G$6:$G$300,FortnightlyLog!$E$6:$E$300,$B12,FortnightlyLog!$D$6:$D$300,H$5)</f>
        <v>0</v>
      </c>
      <c r="I12" s="11">
        <f>SUMIFS(FortnightlyLog!$G$6:$G$300,FortnightlyLog!$E$6:$E$300,$B12,FortnightlyLog!$D$6:$D$300,I$5)</f>
        <v>0</v>
      </c>
      <c r="J12" s="11">
        <f>SUMIFS(FortnightlyLog!$G$6:$G$300,FortnightlyLog!$E$6:$E$300,$B12,FortnightlyLog!$D$6:$D$300,J$5)</f>
        <v>0</v>
      </c>
      <c r="K12" s="11">
        <f>SUMIFS(FortnightlyLog!$G$6:$G$300,FortnightlyLog!$E$6:$E$300,$B12,FortnightlyLog!$D$6:$D$300,K$5)</f>
        <v>0</v>
      </c>
      <c r="L12" s="11">
        <f>SUMIFS(FortnightlyLog!$G$6:$G$300,FortnightlyLog!$E$6:$E$300,$B12,FortnightlyLog!$D$6:$D$300,L$5)</f>
        <v>0</v>
      </c>
      <c r="M12" s="11">
        <f>SUMIFS(FortnightlyLog!$G$6:$G$300,FortnightlyLog!$E$6:$E$300,$B12,FortnightlyLog!$D$6:$D$300,M$5)</f>
        <v>0</v>
      </c>
      <c r="N12" s="11">
        <f>SUMIFS(FortnightlyLog!$G$6:$G$300,FortnightlyLog!$E$6:$E$300,$B12,FortnightlyLog!$D$6:$D$300,N$5)</f>
        <v>0</v>
      </c>
      <c r="O12" s="11">
        <f t="shared" si="0"/>
        <v>0</v>
      </c>
    </row>
    <row r="13" spans="2:15" x14ac:dyDescent="0.25">
      <c r="B13" s="17" t="str">
        <f>BudgetCategories!B13</f>
        <v>Health &amp; Fitness</v>
      </c>
      <c r="C13" s="11">
        <f>SUMIFS(FortnightlyLog!$G$6:$G$300,FortnightlyLog!$E$6:$E$300,$B13,FortnightlyLog!$D$6:$D$300,C$5)</f>
        <v>0</v>
      </c>
      <c r="D13" s="11">
        <f>SUMIFS(FortnightlyLog!$G$6:$G$300,FortnightlyLog!$E$6:$E$300,$B13,FortnightlyLog!$D$6:$D$300,D$5)</f>
        <v>0</v>
      </c>
      <c r="E13" s="11">
        <f>SUMIFS(FortnightlyLog!$G$6:$G$300,FortnightlyLog!$E$6:$E$300,$B13,FortnightlyLog!$D$6:$D$300,E$5)</f>
        <v>0</v>
      </c>
      <c r="F13" s="11">
        <f>SUMIFS(FortnightlyLog!$G$6:$G$300,FortnightlyLog!$E$6:$E$300,$B13,FortnightlyLog!$D$6:$D$300,F$5)</f>
        <v>0</v>
      </c>
      <c r="G13" s="11">
        <f>SUMIFS(FortnightlyLog!$G$6:$G$300,FortnightlyLog!$E$6:$E$300,$B13,FortnightlyLog!$D$6:$D$300,G$5)</f>
        <v>0</v>
      </c>
      <c r="H13" s="11">
        <f>SUMIFS(FortnightlyLog!$G$6:$G$300,FortnightlyLog!$E$6:$E$300,$B13,FortnightlyLog!$D$6:$D$300,H$5)</f>
        <v>0</v>
      </c>
      <c r="I13" s="11">
        <f>SUMIFS(FortnightlyLog!$G$6:$G$300,FortnightlyLog!$E$6:$E$300,$B13,FortnightlyLog!$D$6:$D$300,I$5)</f>
        <v>0</v>
      </c>
      <c r="J13" s="11">
        <f>SUMIFS(FortnightlyLog!$G$6:$G$300,FortnightlyLog!$E$6:$E$300,$B13,FortnightlyLog!$D$6:$D$300,J$5)</f>
        <v>0</v>
      </c>
      <c r="K13" s="11">
        <f>SUMIFS(FortnightlyLog!$G$6:$G$300,FortnightlyLog!$E$6:$E$300,$B13,FortnightlyLog!$D$6:$D$300,K$5)</f>
        <v>0</v>
      </c>
      <c r="L13" s="11">
        <f>SUMIFS(FortnightlyLog!$G$6:$G$300,FortnightlyLog!$E$6:$E$300,$B13,FortnightlyLog!$D$6:$D$300,L$5)</f>
        <v>0</v>
      </c>
      <c r="M13" s="11">
        <f>SUMIFS(FortnightlyLog!$G$6:$G$300,FortnightlyLog!$E$6:$E$300,$B13,FortnightlyLog!$D$6:$D$300,M$5)</f>
        <v>0</v>
      </c>
      <c r="N13" s="11">
        <f>SUMIFS(FortnightlyLog!$G$6:$G$300,FortnightlyLog!$E$6:$E$300,$B13,FortnightlyLog!$D$6:$D$300,N$5)</f>
        <v>0</v>
      </c>
      <c r="O13" s="11">
        <f t="shared" si="0"/>
        <v>0</v>
      </c>
    </row>
    <row r="14" spans="2:15" x14ac:dyDescent="0.25">
      <c r="B14" s="17" t="str">
        <f>BudgetCategories!B14</f>
        <v>Personal Care</v>
      </c>
      <c r="C14" s="11">
        <f>SUMIFS(FortnightlyLog!$G$6:$G$300,FortnightlyLog!$E$6:$E$300,$B14,FortnightlyLog!$D$6:$D$300,C$5)</f>
        <v>30.97</v>
      </c>
      <c r="D14" s="11">
        <f>SUMIFS(FortnightlyLog!$G$6:$G$300,FortnightlyLog!$E$6:$E$300,$B14,FortnightlyLog!$D$6:$D$300,D$5)</f>
        <v>16.989999999999998</v>
      </c>
      <c r="E14" s="11">
        <f>SUMIFS(FortnightlyLog!$G$6:$G$300,FortnightlyLog!$E$6:$E$300,$B14,FortnightlyLog!$D$6:$D$300,E$5)</f>
        <v>0</v>
      </c>
      <c r="F14" s="11">
        <f>SUMIFS(FortnightlyLog!$G$6:$G$300,FortnightlyLog!$E$6:$E$300,$B14,FortnightlyLog!$D$6:$D$300,F$5)</f>
        <v>0</v>
      </c>
      <c r="G14" s="11">
        <f>SUMIFS(FortnightlyLog!$G$6:$G$300,FortnightlyLog!$E$6:$E$300,$B14,FortnightlyLog!$D$6:$D$300,G$5)</f>
        <v>0</v>
      </c>
      <c r="H14" s="11">
        <f>SUMIFS(FortnightlyLog!$G$6:$G$300,FortnightlyLog!$E$6:$E$300,$B14,FortnightlyLog!$D$6:$D$300,H$5)</f>
        <v>0</v>
      </c>
      <c r="I14" s="11">
        <f>SUMIFS(FortnightlyLog!$G$6:$G$300,FortnightlyLog!$E$6:$E$300,$B14,FortnightlyLog!$D$6:$D$300,I$5)</f>
        <v>0</v>
      </c>
      <c r="J14" s="11">
        <f>SUMIFS(FortnightlyLog!$G$6:$G$300,FortnightlyLog!$E$6:$E$300,$B14,FortnightlyLog!$D$6:$D$300,J$5)</f>
        <v>0</v>
      </c>
      <c r="K14" s="11">
        <f>SUMIFS(FortnightlyLog!$G$6:$G$300,FortnightlyLog!$E$6:$E$300,$B14,FortnightlyLog!$D$6:$D$300,K$5)</f>
        <v>0</v>
      </c>
      <c r="L14" s="11">
        <f>SUMIFS(FortnightlyLog!$G$6:$G$300,FortnightlyLog!$E$6:$E$300,$B14,FortnightlyLog!$D$6:$D$300,L$5)</f>
        <v>0</v>
      </c>
      <c r="M14" s="11">
        <f>SUMIFS(FortnightlyLog!$G$6:$G$300,FortnightlyLog!$E$6:$E$300,$B14,FortnightlyLog!$D$6:$D$300,M$5)</f>
        <v>0</v>
      </c>
      <c r="N14" s="11">
        <f>SUMIFS(FortnightlyLog!$G$6:$G$300,FortnightlyLog!$E$6:$E$300,$B14,FortnightlyLog!$D$6:$D$300,N$5)</f>
        <v>0</v>
      </c>
      <c r="O14" s="11">
        <f t="shared" si="0"/>
        <v>47.959999999999994</v>
      </c>
    </row>
    <row r="15" spans="2:15" x14ac:dyDescent="0.25">
      <c r="B15" s="17" t="str">
        <f>BudgetCategories!B15</f>
        <v>Subscriptions</v>
      </c>
      <c r="C15" s="11">
        <f>SUMIFS(FortnightlyLog!$G$6:$G$300,FortnightlyLog!$E$6:$E$300,$B15,FortnightlyLog!$D$6:$D$300,C$5)</f>
        <v>9.99</v>
      </c>
      <c r="D15" s="11">
        <f>SUMIFS(FortnightlyLog!$G$6:$G$300,FortnightlyLog!$E$6:$E$300,$B15,FortnightlyLog!$D$6:$D$300,D$5)</f>
        <v>0</v>
      </c>
      <c r="E15" s="11">
        <f>SUMIFS(FortnightlyLog!$G$6:$G$300,FortnightlyLog!$E$6:$E$300,$B15,FortnightlyLog!$D$6:$D$300,E$5)</f>
        <v>0</v>
      </c>
      <c r="F15" s="11">
        <f>SUMIFS(FortnightlyLog!$G$6:$G$300,FortnightlyLog!$E$6:$E$300,$B15,FortnightlyLog!$D$6:$D$300,F$5)</f>
        <v>0</v>
      </c>
      <c r="G15" s="11">
        <f>SUMIFS(FortnightlyLog!$G$6:$G$300,FortnightlyLog!$E$6:$E$300,$B15,FortnightlyLog!$D$6:$D$300,G$5)</f>
        <v>0</v>
      </c>
      <c r="H15" s="11">
        <f>SUMIFS(FortnightlyLog!$G$6:$G$300,FortnightlyLog!$E$6:$E$300,$B15,FortnightlyLog!$D$6:$D$300,H$5)</f>
        <v>0</v>
      </c>
      <c r="I15" s="11">
        <f>SUMIFS(FortnightlyLog!$G$6:$G$300,FortnightlyLog!$E$6:$E$300,$B15,FortnightlyLog!$D$6:$D$300,I$5)</f>
        <v>0</v>
      </c>
      <c r="J15" s="11">
        <f>SUMIFS(FortnightlyLog!$G$6:$G$300,FortnightlyLog!$E$6:$E$300,$B15,FortnightlyLog!$D$6:$D$300,J$5)</f>
        <v>0</v>
      </c>
      <c r="K15" s="11">
        <f>SUMIFS(FortnightlyLog!$G$6:$G$300,FortnightlyLog!$E$6:$E$300,$B15,FortnightlyLog!$D$6:$D$300,K$5)</f>
        <v>0</v>
      </c>
      <c r="L15" s="11">
        <f>SUMIFS(FortnightlyLog!$G$6:$G$300,FortnightlyLog!$E$6:$E$300,$B15,FortnightlyLog!$D$6:$D$300,L$5)</f>
        <v>0</v>
      </c>
      <c r="M15" s="11">
        <f>SUMIFS(FortnightlyLog!$G$6:$G$300,FortnightlyLog!$E$6:$E$300,$B15,FortnightlyLog!$D$6:$D$300,M$5)</f>
        <v>0</v>
      </c>
      <c r="N15" s="11">
        <f>SUMIFS(FortnightlyLog!$G$6:$G$300,FortnightlyLog!$E$6:$E$300,$B15,FortnightlyLog!$D$6:$D$300,N$5)</f>
        <v>0</v>
      </c>
      <c r="O15" s="11">
        <f t="shared" si="0"/>
        <v>9.99</v>
      </c>
    </row>
    <row r="16" spans="2:15" x14ac:dyDescent="0.25">
      <c r="B16" s="17" t="str">
        <f>BudgetCategories!B16</f>
        <v>Miscellaneous</v>
      </c>
      <c r="C16" s="11">
        <f>SUMIFS(FortnightlyLog!$G$6:$G$300,FortnightlyLog!$E$6:$E$300,$B16,FortnightlyLog!$D$6:$D$300,C$5)</f>
        <v>1279.1500000000001</v>
      </c>
      <c r="D16" s="11">
        <f>SUMIFS(FortnightlyLog!$G$6:$G$300,FortnightlyLog!$E$6:$E$300,$B16,FortnightlyLog!$D$6:$D$300,D$5)</f>
        <v>263.65000000000003</v>
      </c>
      <c r="E16" s="11">
        <f>SUMIFS(FortnightlyLog!$G$6:$G$300,FortnightlyLog!$E$6:$E$300,$B16,FortnightlyLog!$D$6:$D$300,E$5)</f>
        <v>0</v>
      </c>
      <c r="F16" s="11">
        <f>SUMIFS(FortnightlyLog!$G$6:$G$300,FortnightlyLog!$E$6:$E$300,$B16,FortnightlyLog!$D$6:$D$300,F$5)</f>
        <v>0</v>
      </c>
      <c r="G16" s="11">
        <f>SUMIFS(FortnightlyLog!$G$6:$G$300,FortnightlyLog!$E$6:$E$300,$B16,FortnightlyLog!$D$6:$D$300,G$5)</f>
        <v>0</v>
      </c>
      <c r="H16" s="11">
        <f>SUMIFS(FortnightlyLog!$G$6:$G$300,FortnightlyLog!$E$6:$E$300,$B16,FortnightlyLog!$D$6:$D$300,H$5)</f>
        <v>0</v>
      </c>
      <c r="I16" s="11">
        <f>SUMIFS(FortnightlyLog!$G$6:$G$300,FortnightlyLog!$E$6:$E$300,$B16,FortnightlyLog!$D$6:$D$300,I$5)</f>
        <v>0</v>
      </c>
      <c r="J16" s="11">
        <f>SUMIFS(FortnightlyLog!$G$6:$G$300,FortnightlyLog!$E$6:$E$300,$B16,FortnightlyLog!$D$6:$D$300,J$5)</f>
        <v>0</v>
      </c>
      <c r="K16" s="11">
        <f>SUMIFS(FortnightlyLog!$G$6:$G$300,FortnightlyLog!$E$6:$E$300,$B16,FortnightlyLog!$D$6:$D$300,K$5)</f>
        <v>0</v>
      </c>
      <c r="L16" s="11">
        <f>SUMIFS(FortnightlyLog!$G$6:$G$300,FortnightlyLog!$E$6:$E$300,$B16,FortnightlyLog!$D$6:$D$300,L$5)</f>
        <v>0</v>
      </c>
      <c r="M16" s="11">
        <f>SUMIFS(FortnightlyLog!$G$6:$G$300,FortnightlyLog!$E$6:$E$300,$B16,FortnightlyLog!$D$6:$D$300,M$5)</f>
        <v>0</v>
      </c>
      <c r="N16" s="11">
        <f>SUMIFS(FortnightlyLog!$G$6:$G$300,FortnightlyLog!$E$6:$E$300,$B16,FortnightlyLog!$D$6:$D$300,N$5)</f>
        <v>0</v>
      </c>
      <c r="O16" s="11">
        <f t="shared" si="0"/>
        <v>1542.8000000000002</v>
      </c>
    </row>
    <row r="17" spans="2:15" x14ac:dyDescent="0.25">
      <c r="B17" s="3" t="s">
        <v>76</v>
      </c>
      <c r="C17" s="12">
        <f>SUM(C6:C16)</f>
        <v>4736.1299999999992</v>
      </c>
      <c r="D17" s="12">
        <f>SUM(D6:D16)</f>
        <v>2352.21</v>
      </c>
      <c r="E17" s="12">
        <f>SUM(E6:E16)</f>
        <v>0</v>
      </c>
      <c r="F17" s="12">
        <f>SUM(F6:F16)</f>
        <v>0</v>
      </c>
      <c r="G17" s="12">
        <f>SUM(G6:G16)</f>
        <v>0</v>
      </c>
      <c r="H17" s="12">
        <f>SUM(H6:H16)</f>
        <v>0</v>
      </c>
      <c r="I17" s="12">
        <f>SUM(I6:I16)</f>
        <v>0</v>
      </c>
      <c r="J17" s="12">
        <f>SUM(J6:J16)</f>
        <v>0</v>
      </c>
      <c r="K17" s="12">
        <f>SUM(K6:K16)</f>
        <v>0</v>
      </c>
      <c r="L17" s="12">
        <f>SUM(L6:L16)</f>
        <v>0</v>
      </c>
      <c r="M17" s="12">
        <f>SUM(M6:M16)</f>
        <v>0</v>
      </c>
      <c r="N17" s="12">
        <f>SUM(N6:N16)</f>
        <v>0</v>
      </c>
      <c r="O17" s="12">
        <f>SUM(O6:O16)</f>
        <v>7088.34</v>
      </c>
    </row>
    <row r="18" spans="2:15" x14ac:dyDescent="0.25">
      <c r="B18" s="3" t="s">
        <v>47</v>
      </c>
      <c r="C18" s="18">
        <f>Income!C12</f>
        <v>7504</v>
      </c>
      <c r="D18" s="18">
        <f>Income!D12</f>
        <v>7647</v>
      </c>
      <c r="E18" s="18">
        <f>Income!E12</f>
        <v>7504</v>
      </c>
      <c r="F18" s="18">
        <f>Income!F12</f>
        <v>10068</v>
      </c>
      <c r="G18" s="18">
        <f>Income!G12</f>
        <v>5804</v>
      </c>
      <c r="H18" s="18">
        <f>Income!H12</f>
        <v>7504</v>
      </c>
      <c r="I18" s="18">
        <f>Income!I12</f>
        <v>7694</v>
      </c>
      <c r="J18" s="18">
        <f>Income!J12</f>
        <v>7574</v>
      </c>
      <c r="K18" s="18">
        <f>Income!K12</f>
        <v>3787</v>
      </c>
      <c r="L18" s="18">
        <f>Income!L12</f>
        <v>0</v>
      </c>
      <c r="M18" s="18">
        <f>Income!M12</f>
        <v>0</v>
      </c>
      <c r="N18" s="18">
        <f>Income!N12</f>
        <v>0</v>
      </c>
      <c r="O18" s="11">
        <f>SUM(C18:N18)</f>
        <v>65086</v>
      </c>
    </row>
    <row r="19" spans="2:15" x14ac:dyDescent="0.25">
      <c r="B19" s="3" t="s">
        <v>77</v>
      </c>
      <c r="C19" s="12">
        <f t="shared" ref="C19:O19" si="1">C18-C17</f>
        <v>2767.8700000000008</v>
      </c>
      <c r="D19" s="12">
        <f t="shared" si="1"/>
        <v>5294.79</v>
      </c>
      <c r="E19" s="12">
        <f t="shared" si="1"/>
        <v>7504</v>
      </c>
      <c r="F19" s="12">
        <f t="shared" si="1"/>
        <v>10068</v>
      </c>
      <c r="G19" s="12">
        <f t="shared" si="1"/>
        <v>5804</v>
      </c>
      <c r="H19" s="12">
        <f t="shared" si="1"/>
        <v>7504</v>
      </c>
      <c r="I19" s="12">
        <f t="shared" si="1"/>
        <v>7694</v>
      </c>
      <c r="J19" s="12">
        <f t="shared" si="1"/>
        <v>7574</v>
      </c>
      <c r="K19" s="12">
        <f t="shared" si="1"/>
        <v>3787</v>
      </c>
      <c r="L19" s="12">
        <f t="shared" si="1"/>
        <v>0</v>
      </c>
      <c r="M19" s="12">
        <f t="shared" si="1"/>
        <v>0</v>
      </c>
      <c r="N19" s="12">
        <f t="shared" si="1"/>
        <v>0</v>
      </c>
      <c r="O19" s="12">
        <f t="shared" si="1"/>
        <v>57997.66</v>
      </c>
    </row>
    <row r="20" spans="2:15" x14ac:dyDescent="0.25">
      <c r="B20" s="3" t="s">
        <v>78</v>
      </c>
      <c r="C20" s="19">
        <f t="shared" ref="C20:O20" si="2">IFERROR(C19/C18,0)</f>
        <v>0.36885261194029861</v>
      </c>
      <c r="D20" s="19">
        <f t="shared" si="2"/>
        <v>0.6924009415457042</v>
      </c>
      <c r="E20" s="19">
        <f t="shared" si="2"/>
        <v>1</v>
      </c>
      <c r="F20" s="19">
        <f t="shared" si="2"/>
        <v>1</v>
      </c>
      <c r="G20" s="19">
        <f t="shared" si="2"/>
        <v>1</v>
      </c>
      <c r="H20" s="19">
        <f t="shared" si="2"/>
        <v>1</v>
      </c>
      <c r="I20" s="19">
        <f t="shared" si="2"/>
        <v>1</v>
      </c>
      <c r="J20" s="19">
        <f t="shared" si="2"/>
        <v>1</v>
      </c>
      <c r="K20" s="19">
        <f t="shared" si="2"/>
        <v>1</v>
      </c>
      <c r="L20" s="19">
        <f t="shared" si="2"/>
        <v>0</v>
      </c>
      <c r="M20" s="19">
        <f t="shared" si="2"/>
        <v>0</v>
      </c>
      <c r="N20" s="19">
        <f t="shared" si="2"/>
        <v>0</v>
      </c>
      <c r="O20" s="19">
        <f t="shared" si="2"/>
        <v>0.89109270810927088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6"/>
  <sheetViews>
    <sheetView zoomScaleNormal="100" workbookViewId="0">
      <selection activeCell="I22" sqref="I22"/>
    </sheetView>
  </sheetViews>
  <sheetFormatPr defaultColWidth="8.7109375" defaultRowHeight="15" x14ac:dyDescent="0.25"/>
  <cols>
    <col min="1" max="1" width="2" customWidth="1"/>
    <col min="2" max="9" width="20" customWidth="1"/>
  </cols>
  <sheetData>
    <row r="2" spans="2:8" ht="20.25" x14ac:dyDescent="0.3">
      <c r="B2" s="1" t="s">
        <v>79</v>
      </c>
    </row>
    <row r="3" spans="2:8" x14ac:dyDescent="0.25">
      <c r="B3" s="2" t="s">
        <v>80</v>
      </c>
    </row>
    <row r="5" spans="2:8" x14ac:dyDescent="0.25">
      <c r="B5" s="20" t="s">
        <v>81</v>
      </c>
      <c r="D5" s="20" t="s">
        <v>82</v>
      </c>
      <c r="F5" s="20" t="s">
        <v>83</v>
      </c>
      <c r="H5" s="20" t="s">
        <v>84</v>
      </c>
    </row>
    <row r="6" spans="2:8" ht="20.25" x14ac:dyDescent="0.3">
      <c r="B6" s="21">
        <f>SUM(MonthlySummary!C18:N18)</f>
        <v>65086</v>
      </c>
      <c r="D6" s="21">
        <f>SUM(MonthlySummary!C17:N17)</f>
        <v>7088.3399999999992</v>
      </c>
      <c r="F6" s="21">
        <f>SUM(MonthlySummary!C19:N19)</f>
        <v>57997.66</v>
      </c>
      <c r="H6" s="22">
        <f>IFERROR(AVERAGE(MonthlySummary!C20:N20),0)</f>
        <v>0.67177112945716688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Income</vt:lpstr>
      <vt:lpstr>BudgetCategories</vt:lpstr>
      <vt:lpstr>FortnightlyLog</vt:lpstr>
      <vt:lpstr>MonthlySummary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Laxman Nagappan</cp:lastModifiedBy>
  <cp:revision>1</cp:revision>
  <dcterms:created xsi:type="dcterms:W3CDTF">2026-09-18T07:24:42Z</dcterms:created>
  <dcterms:modified xsi:type="dcterms:W3CDTF">2026-09-18T09:15:31Z</dcterms:modified>
  <dc:language>en-US</dc:language>
</cp:coreProperties>
</file>